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5.xml" ContentType="application/vnd.openxmlformats-officedocument.drawingml.chart+xml"/>
  <Override PartName="/xl/comments4.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young\Dropbox\Michael\Work-Uni-Coding\Youngs Farm Analysis\FOG\Work\R&amp;D\Carla - NRM\NRM App\"/>
    </mc:Choice>
  </mc:AlternateContent>
  <xr:revisionPtr revIDLastSave="0" documentId="13_ncr:1_{B82D4DEE-D1DD-447D-ACDB-4A155882AD34}" xr6:coauthVersionLast="47" xr6:coauthVersionMax="47" xr10:uidLastSave="{00000000-0000-0000-0000-000000000000}"/>
  <bookViews>
    <workbookView xWindow="-110" yWindow="-110" windowWidth="25820" windowHeight="15500" xr2:uid="{E8213FCE-A24F-4DC8-8C58-DD7521FC127C}"/>
  </bookViews>
  <sheets>
    <sheet name="Guide" sheetId="2" r:id="rId1"/>
    <sheet name="Database" sheetId="4" r:id="rId2"/>
    <sheet name="Calculations" sheetId="6" r:id="rId3"/>
    <sheet name="Scenarios" sheetId="5" r:id="rId4"/>
  </sheets>
  <externalReferences>
    <externalReference r:id="rId5"/>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4" l="1"/>
  <c r="C5" i="4"/>
  <c r="B131" i="6"/>
  <c r="B137" i="6"/>
  <c r="B136" i="6"/>
  <c r="B135" i="6"/>
  <c r="B134" i="6"/>
  <c r="B133" i="6"/>
  <c r="B113" i="6"/>
  <c r="B144" i="6"/>
  <c r="B145" i="6"/>
  <c r="B130" i="6"/>
  <c r="G162" i="6" s="1"/>
  <c r="G156" i="6"/>
  <c r="M135" i="6" s="1"/>
  <c r="H156" i="6"/>
  <c r="N152" i="6" s="1"/>
  <c r="F156" i="6"/>
  <c r="L131" i="6" s="1"/>
  <c r="L134" i="6"/>
  <c r="I155" i="6"/>
  <c r="I150" i="6"/>
  <c r="I144" i="6"/>
  <c r="I138" i="6"/>
  <c r="O129" i="6"/>
  <c r="N129" i="6"/>
  <c r="M129" i="6"/>
  <c r="L129" i="6"/>
  <c r="I129" i="6"/>
  <c r="H129" i="6"/>
  <c r="G129" i="6"/>
  <c r="F129" i="6"/>
  <c r="G161" i="6" l="1"/>
  <c r="G180" i="6"/>
  <c r="G168" i="6"/>
  <c r="G181" i="6"/>
  <c r="G179" i="6"/>
  <c r="G178" i="6"/>
  <c r="G160" i="6"/>
  <c r="G159" i="6"/>
  <c r="B151" i="6"/>
  <c r="L130" i="6"/>
  <c r="L155" i="6"/>
  <c r="B138" i="6"/>
  <c r="E162" i="6" s="1"/>
  <c r="L136" i="6"/>
  <c r="L135" i="6"/>
  <c r="G172" i="6"/>
  <c r="G170" i="6"/>
  <c r="G169" i="6"/>
  <c r="G176" i="6"/>
  <c r="G174" i="6"/>
  <c r="G173" i="6"/>
  <c r="G171" i="6"/>
  <c r="G167" i="6"/>
  <c r="G165" i="6"/>
  <c r="G183" i="6"/>
  <c r="G163" i="6"/>
  <c r="G177" i="6"/>
  <c r="G175" i="6"/>
  <c r="G166" i="6"/>
  <c r="G184" i="6"/>
  <c r="G164" i="6"/>
  <c r="G182" i="6"/>
  <c r="E184" i="6"/>
  <c r="E173" i="6"/>
  <c r="E183" i="6"/>
  <c r="E182" i="6"/>
  <c r="L154" i="6"/>
  <c r="L133" i="6"/>
  <c r="L152" i="6"/>
  <c r="L132" i="6"/>
  <c r="L150" i="6"/>
  <c r="L144" i="6"/>
  <c r="N141" i="6"/>
  <c r="L151" i="6"/>
  <c r="L149" i="6"/>
  <c r="L147" i="6"/>
  <c r="L143" i="6"/>
  <c r="L141" i="6"/>
  <c r="L148" i="6"/>
  <c r="L145" i="6"/>
  <c r="L140" i="6"/>
  <c r="L139" i="6"/>
  <c r="L138" i="6"/>
  <c r="L146" i="6"/>
  <c r="L137" i="6"/>
  <c r="N146" i="6"/>
  <c r="N151" i="6"/>
  <c r="M146" i="6"/>
  <c r="N140" i="6"/>
  <c r="M151" i="6"/>
  <c r="N134" i="6"/>
  <c r="M141" i="6"/>
  <c r="N144" i="6"/>
  <c r="N149" i="6"/>
  <c r="N154" i="6"/>
  <c r="N139" i="6"/>
  <c r="M138" i="6"/>
  <c r="N132" i="6"/>
  <c r="M152" i="6"/>
  <c r="N130" i="6"/>
  <c r="M134" i="6"/>
  <c r="M139" i="6"/>
  <c r="M144" i="6"/>
  <c r="M133" i="6"/>
  <c r="N138" i="6"/>
  <c r="M149" i="6"/>
  <c r="M154" i="6"/>
  <c r="N143" i="6"/>
  <c r="M143" i="6"/>
  <c r="M132" i="6"/>
  <c r="N145" i="6"/>
  <c r="N133" i="6"/>
  <c r="M148" i="6"/>
  <c r="M130" i="6"/>
  <c r="N150" i="6"/>
  <c r="N148" i="6"/>
  <c r="M153" i="6"/>
  <c r="M131" i="6"/>
  <c r="I156" i="6"/>
  <c r="O150" i="6" s="1"/>
  <c r="N135" i="6"/>
  <c r="N142" i="6"/>
  <c r="N131" i="6"/>
  <c r="L153" i="6"/>
  <c r="M142" i="6"/>
  <c r="N147" i="6"/>
  <c r="L142" i="6"/>
  <c r="N136" i="6"/>
  <c r="N155" i="6"/>
  <c r="N137" i="6"/>
  <c r="N153" i="6"/>
  <c r="M137" i="6"/>
  <c r="M147" i="6"/>
  <c r="M136" i="6"/>
  <c r="M155" i="6"/>
  <c r="M150" i="6"/>
  <c r="M145" i="6"/>
  <c r="M140" i="6"/>
  <c r="B115" i="6"/>
  <c r="B118" i="6" s="1"/>
  <c r="B112" i="6"/>
  <c r="B111" i="6"/>
  <c r="B117" i="6"/>
  <c r="B114" i="6"/>
  <c r="B50" i="6"/>
  <c r="B49" i="6"/>
  <c r="G56" i="6"/>
  <c r="M35" i="6" s="1"/>
  <c r="H56" i="6"/>
  <c r="N30" i="6" s="1"/>
  <c r="I56" i="6"/>
  <c r="O40" i="6" s="1"/>
  <c r="F56" i="6"/>
  <c r="L35" i="6" s="1"/>
  <c r="G30" i="6"/>
  <c r="I29" i="6"/>
  <c r="H29" i="6"/>
  <c r="G29" i="6"/>
  <c r="F29" i="6"/>
  <c r="B60" i="6"/>
  <c r="I60" i="6" s="1"/>
  <c r="N60" i="6"/>
  <c r="B61" i="6"/>
  <c r="E61" i="6" s="1"/>
  <c r="N61" i="6"/>
  <c r="B62" i="6"/>
  <c r="N62" i="6"/>
  <c r="B63" i="6"/>
  <c r="N63" i="6"/>
  <c r="B64" i="6"/>
  <c r="J64" i="6" s="1"/>
  <c r="N64" i="6"/>
  <c r="B65" i="6"/>
  <c r="J65" i="6" s="1"/>
  <c r="E65" i="6"/>
  <c r="N65" i="6"/>
  <c r="B66" i="6"/>
  <c r="E66" i="6" s="1"/>
  <c r="N66" i="6"/>
  <c r="B67" i="6"/>
  <c r="E67" i="6" s="1"/>
  <c r="N67" i="6"/>
  <c r="B68" i="6"/>
  <c r="J68" i="6" s="1"/>
  <c r="N68" i="6"/>
  <c r="B69" i="6"/>
  <c r="E69" i="6" s="1"/>
  <c r="N69" i="6"/>
  <c r="B70" i="6"/>
  <c r="E70" i="6" s="1"/>
  <c r="N70" i="6"/>
  <c r="B71" i="6"/>
  <c r="E71" i="6" s="1"/>
  <c r="N71" i="6"/>
  <c r="B72" i="6"/>
  <c r="J72" i="6" s="1"/>
  <c r="N72" i="6"/>
  <c r="B73" i="6"/>
  <c r="E73" i="6" s="1"/>
  <c r="N73" i="6"/>
  <c r="B74" i="6"/>
  <c r="E74" i="6" s="1"/>
  <c r="N74" i="6"/>
  <c r="B75" i="6"/>
  <c r="E75" i="6" s="1"/>
  <c r="N75" i="6"/>
  <c r="B76" i="6"/>
  <c r="E76" i="6" s="1"/>
  <c r="N76" i="6"/>
  <c r="B77" i="6"/>
  <c r="J77" i="6" s="1"/>
  <c r="N77" i="6"/>
  <c r="B78" i="6"/>
  <c r="J78" i="6" s="1"/>
  <c r="N78" i="6"/>
  <c r="B79" i="6"/>
  <c r="E79" i="6" s="1"/>
  <c r="N79" i="6"/>
  <c r="B80" i="6"/>
  <c r="E80" i="6" s="1"/>
  <c r="N80" i="6"/>
  <c r="B81" i="6"/>
  <c r="N81" i="6"/>
  <c r="B82" i="6"/>
  <c r="E82" i="6" s="1"/>
  <c r="N82" i="6"/>
  <c r="B83" i="6"/>
  <c r="N83" i="6"/>
  <c r="B84" i="6"/>
  <c r="J84" i="6" s="1"/>
  <c r="E84" i="6"/>
  <c r="N84" i="6"/>
  <c r="B85" i="6"/>
  <c r="N85" i="6"/>
  <c r="B41" i="6"/>
  <c r="B43" i="6"/>
  <c r="B42" i="6"/>
  <c r="B40" i="6"/>
  <c r="O29" i="6"/>
  <c r="N29" i="6"/>
  <c r="M29" i="6"/>
  <c r="L29" i="6"/>
  <c r="E5" i="4"/>
  <c r="C6" i="4"/>
  <c r="E6" i="4" s="1"/>
  <c r="A10" i="6"/>
  <c r="H4" i="6"/>
  <c r="H5" i="6"/>
  <c r="H6" i="6"/>
  <c r="H7" i="6"/>
  <c r="H8" i="6"/>
  <c r="H9" i="6"/>
  <c r="H10" i="6"/>
  <c r="H11" i="6"/>
  <c r="H12" i="6"/>
  <c r="H13" i="6"/>
  <c r="H14" i="6"/>
  <c r="H15" i="6"/>
  <c r="H16" i="6"/>
  <c r="H17" i="6"/>
  <c r="H18" i="6"/>
  <c r="H19" i="6"/>
  <c r="H20" i="6"/>
  <c r="H21" i="6"/>
  <c r="H22" i="6"/>
  <c r="H23" i="6"/>
  <c r="H24" i="6"/>
  <c r="H3" i="6"/>
  <c r="B119" i="6" a="1"/>
  <c r="E169" i="6" l="1"/>
  <c r="E171" i="6"/>
  <c r="E160" i="6"/>
  <c r="E159" i="6"/>
  <c r="E168" i="6"/>
  <c r="E164" i="6"/>
  <c r="E175" i="6"/>
  <c r="E177" i="6"/>
  <c r="E166" i="6"/>
  <c r="E167" i="6"/>
  <c r="E179" i="6"/>
  <c r="E163" i="6"/>
  <c r="F75" i="6"/>
  <c r="E180" i="6"/>
  <c r="E181" i="6"/>
  <c r="E60" i="6"/>
  <c r="F60" i="6" s="1"/>
  <c r="B179" i="6"/>
  <c r="C179" i="6" s="1"/>
  <c r="F179" i="6" s="1"/>
  <c r="I179" i="6" s="1"/>
  <c r="B176" i="6"/>
  <c r="C176" i="6" s="1"/>
  <c r="D176" i="6" s="1"/>
  <c r="H176" i="6" s="1"/>
  <c r="O33" i="6"/>
  <c r="N33" i="6"/>
  <c r="L33" i="6"/>
  <c r="E161" i="6"/>
  <c r="E176" i="6"/>
  <c r="E174" i="6"/>
  <c r="E170" i="6"/>
  <c r="E172" i="6"/>
  <c r="E178" i="6"/>
  <c r="E165" i="6"/>
  <c r="L156" i="6"/>
  <c r="F84" i="6"/>
  <c r="F66" i="6"/>
  <c r="F65" i="6"/>
  <c r="F76" i="6"/>
  <c r="N53" i="6"/>
  <c r="N49" i="6"/>
  <c r="L49" i="6"/>
  <c r="O48" i="6"/>
  <c r="O145" i="6"/>
  <c r="B174" i="6" s="1"/>
  <c r="C174" i="6" s="1"/>
  <c r="D174" i="6" s="1"/>
  <c r="H174" i="6" s="1"/>
  <c r="O37" i="6"/>
  <c r="O52" i="6"/>
  <c r="O47" i="6"/>
  <c r="N44" i="6"/>
  <c r="L44" i="6"/>
  <c r="N43" i="6"/>
  <c r="O34" i="6"/>
  <c r="L53" i="6"/>
  <c r="N34" i="6"/>
  <c r="O49" i="6"/>
  <c r="L34" i="6"/>
  <c r="O44" i="6"/>
  <c r="O43" i="6"/>
  <c r="B123" i="6"/>
  <c r="N156" i="6"/>
  <c r="B121" i="6"/>
  <c r="O42" i="6"/>
  <c r="O54" i="6"/>
  <c r="J71" i="6"/>
  <c r="N54" i="6"/>
  <c r="N39" i="6"/>
  <c r="O135" i="6"/>
  <c r="B164" i="6" s="1"/>
  <c r="C164" i="6" s="1"/>
  <c r="D164" i="6" s="1"/>
  <c r="H164" i="6" s="1"/>
  <c r="O141" i="6"/>
  <c r="B170" i="6" s="1"/>
  <c r="C170" i="6" s="1"/>
  <c r="D170" i="6" s="1"/>
  <c r="H170" i="6" s="1"/>
  <c r="O152" i="6"/>
  <c r="B181" i="6" s="1"/>
  <c r="C181" i="6" s="1"/>
  <c r="O136" i="6"/>
  <c r="B165" i="6" s="1"/>
  <c r="C165" i="6" s="1"/>
  <c r="D165" i="6" s="1"/>
  <c r="H165" i="6" s="1"/>
  <c r="O147" i="6"/>
  <c r="O153" i="6"/>
  <c r="B182" i="6" s="1"/>
  <c r="C182" i="6" s="1"/>
  <c r="O139" i="6"/>
  <c r="B168" i="6" s="1"/>
  <c r="C168" i="6" s="1"/>
  <c r="O142" i="6"/>
  <c r="B171" i="6" s="1"/>
  <c r="C171" i="6" s="1"/>
  <c r="O131" i="6"/>
  <c r="B160" i="6" s="1"/>
  <c r="C160" i="6" s="1"/>
  <c r="O146" i="6"/>
  <c r="B175" i="6" s="1"/>
  <c r="C175" i="6" s="1"/>
  <c r="O137" i="6"/>
  <c r="B166" i="6" s="1"/>
  <c r="C166" i="6" s="1"/>
  <c r="O148" i="6"/>
  <c r="B177" i="6" s="1"/>
  <c r="C177" i="6" s="1"/>
  <c r="O132" i="6"/>
  <c r="B161" i="6" s="1"/>
  <c r="C161" i="6" s="1"/>
  <c r="D161" i="6" s="1"/>
  <c r="H161" i="6" s="1"/>
  <c r="O143" i="6"/>
  <c r="B172" i="6" s="1"/>
  <c r="C172" i="6" s="1"/>
  <c r="D172" i="6" s="1"/>
  <c r="H172" i="6" s="1"/>
  <c r="O154" i="6"/>
  <c r="B183" i="6" s="1"/>
  <c r="C183" i="6" s="1"/>
  <c r="O149" i="6"/>
  <c r="B178" i="6" s="1"/>
  <c r="C178" i="6" s="1"/>
  <c r="D178" i="6" s="1"/>
  <c r="H178" i="6" s="1"/>
  <c r="O138" i="6"/>
  <c r="B167" i="6" s="1"/>
  <c r="C167" i="6" s="1"/>
  <c r="D167" i="6" s="1"/>
  <c r="H167" i="6" s="1"/>
  <c r="O133" i="6"/>
  <c r="B162" i="6" s="1"/>
  <c r="C162" i="6" s="1"/>
  <c r="O130" i="6"/>
  <c r="B159" i="6" s="1"/>
  <c r="C159" i="6" s="1"/>
  <c r="D159" i="6" s="1"/>
  <c r="H159" i="6" s="1"/>
  <c r="O151" i="6"/>
  <c r="B180" i="6" s="1"/>
  <c r="C180" i="6" s="1"/>
  <c r="D180" i="6" s="1"/>
  <c r="H180" i="6" s="1"/>
  <c r="O134" i="6"/>
  <c r="B163" i="6" s="1"/>
  <c r="C163" i="6" s="1"/>
  <c r="O39" i="6"/>
  <c r="M156" i="6"/>
  <c r="I85" i="6"/>
  <c r="L54" i="6"/>
  <c r="N38" i="6"/>
  <c r="L70" i="6"/>
  <c r="L43" i="6"/>
  <c r="N42" i="6"/>
  <c r="O144" i="6"/>
  <c r="B173" i="6" s="1"/>
  <c r="C173" i="6" s="1"/>
  <c r="E78" i="6"/>
  <c r="F78" i="6" s="1"/>
  <c r="O53" i="6"/>
  <c r="L38" i="6"/>
  <c r="O140" i="6"/>
  <c r="B169" i="6" s="1"/>
  <c r="C169" i="6" s="1"/>
  <c r="O155" i="6"/>
  <c r="B184" i="6" s="1"/>
  <c r="C184" i="6" s="1"/>
  <c r="B119" i="6"/>
  <c r="B122" i="6" s="1"/>
  <c r="M38" i="6"/>
  <c r="M54" i="6"/>
  <c r="C84" i="6" s="1"/>
  <c r="D84" i="6" s="1"/>
  <c r="M37" i="6"/>
  <c r="M51" i="6"/>
  <c r="M47" i="6"/>
  <c r="M44" i="6"/>
  <c r="M43" i="6"/>
  <c r="M52" i="6"/>
  <c r="J74" i="6"/>
  <c r="M42" i="6"/>
  <c r="M49" i="6"/>
  <c r="M41" i="6"/>
  <c r="M32" i="6"/>
  <c r="C62" i="6" s="1"/>
  <c r="D62" i="6" s="1"/>
  <c r="M31" i="6"/>
  <c r="M30" i="6"/>
  <c r="M36" i="6"/>
  <c r="M34" i="6"/>
  <c r="C64" i="6" s="1"/>
  <c r="D64" i="6" s="1"/>
  <c r="N48" i="6"/>
  <c r="M39" i="6"/>
  <c r="M53" i="6"/>
  <c r="M33" i="6"/>
  <c r="M48" i="6"/>
  <c r="C78" i="6" s="1"/>
  <c r="D78" i="6" s="1"/>
  <c r="L39" i="6"/>
  <c r="M46" i="6"/>
  <c r="E64" i="6"/>
  <c r="F64" i="6" s="1"/>
  <c r="L48" i="6"/>
  <c r="O38" i="6"/>
  <c r="N52" i="6"/>
  <c r="N47" i="6"/>
  <c r="L52" i="6"/>
  <c r="L47" i="6"/>
  <c r="L42" i="6"/>
  <c r="L37" i="6"/>
  <c r="L32" i="6"/>
  <c r="L30" i="6"/>
  <c r="O51" i="6"/>
  <c r="O46" i="6"/>
  <c r="O41" i="6"/>
  <c r="O36" i="6"/>
  <c r="O31" i="6"/>
  <c r="O30" i="6"/>
  <c r="N51" i="6"/>
  <c r="N46" i="6"/>
  <c r="N41" i="6"/>
  <c r="N36" i="6"/>
  <c r="N31" i="6"/>
  <c r="L36" i="6"/>
  <c r="N55" i="6"/>
  <c r="N50" i="6"/>
  <c r="N45" i="6"/>
  <c r="N40" i="6"/>
  <c r="N35" i="6"/>
  <c r="O32" i="6"/>
  <c r="N37" i="6"/>
  <c r="L51" i="6"/>
  <c r="L31" i="6"/>
  <c r="O35" i="6"/>
  <c r="C65" i="6" s="1"/>
  <c r="D65" i="6" s="1"/>
  <c r="M55" i="6"/>
  <c r="M50" i="6"/>
  <c r="M45" i="6"/>
  <c r="M40" i="6"/>
  <c r="C70" i="6" s="1"/>
  <c r="D70" i="6" s="1"/>
  <c r="N32" i="6"/>
  <c r="L46" i="6"/>
  <c r="L41" i="6"/>
  <c r="O55" i="6"/>
  <c r="O50" i="6"/>
  <c r="O45" i="6"/>
  <c r="L55" i="6"/>
  <c r="L50" i="6"/>
  <c r="L45" i="6"/>
  <c r="L40" i="6"/>
  <c r="J82" i="6"/>
  <c r="J67" i="6"/>
  <c r="E62" i="6"/>
  <c r="F62" i="6" s="1"/>
  <c r="J62" i="6"/>
  <c r="J79" i="6"/>
  <c r="E81" i="6"/>
  <c r="F81" i="6" s="1"/>
  <c r="E77" i="6"/>
  <c r="F77" i="6" s="1"/>
  <c r="J85" i="6"/>
  <c r="F73" i="6"/>
  <c r="E85" i="6"/>
  <c r="F85" i="6" s="1"/>
  <c r="E72" i="6"/>
  <c r="F72" i="6" s="1"/>
  <c r="J80" i="6"/>
  <c r="I62" i="6"/>
  <c r="I65" i="6"/>
  <c r="I81" i="6"/>
  <c r="I73" i="6"/>
  <c r="F70" i="6"/>
  <c r="F69" i="6"/>
  <c r="I75" i="6"/>
  <c r="I71" i="6"/>
  <c r="I64" i="6"/>
  <c r="F71" i="6"/>
  <c r="F67" i="6"/>
  <c r="F80" i="6"/>
  <c r="I68" i="6"/>
  <c r="F61" i="6"/>
  <c r="I79" i="6"/>
  <c r="I67" i="6"/>
  <c r="I61" i="6"/>
  <c r="F79" i="6"/>
  <c r="J76" i="6"/>
  <c r="I76" i="6"/>
  <c r="L73" i="6"/>
  <c r="J70" i="6"/>
  <c r="J60" i="6"/>
  <c r="J73" i="6"/>
  <c r="I70" i="6"/>
  <c r="I80" i="6"/>
  <c r="I77" i="6"/>
  <c r="I82" i="6"/>
  <c r="I74" i="6"/>
  <c r="F82" i="6"/>
  <c r="F74" i="6"/>
  <c r="I84" i="6"/>
  <c r="L65" i="6"/>
  <c r="L76" i="6"/>
  <c r="L79" i="6"/>
  <c r="L82" i="6"/>
  <c r="L71" i="6"/>
  <c r="L63" i="6"/>
  <c r="L68" i="6"/>
  <c r="B16" i="6"/>
  <c r="L77" i="6"/>
  <c r="B15" i="6"/>
  <c r="L83" i="6"/>
  <c r="L66" i="6"/>
  <c r="J83" i="6"/>
  <c r="L69" i="6"/>
  <c r="E68" i="6"/>
  <c r="F68" i="6" s="1"/>
  <c r="J63" i="6"/>
  <c r="I83" i="6"/>
  <c r="L72" i="6"/>
  <c r="J66" i="6"/>
  <c r="I63" i="6"/>
  <c r="L75" i="6"/>
  <c r="J69" i="6"/>
  <c r="I66" i="6"/>
  <c r="L62" i="6"/>
  <c r="L85" i="6"/>
  <c r="L74" i="6"/>
  <c r="L60" i="6"/>
  <c r="I69" i="6"/>
  <c r="L81" i="6"/>
  <c r="I72" i="6"/>
  <c r="L61" i="6"/>
  <c r="L84" i="6"/>
  <c r="J81" i="6"/>
  <c r="I78" i="6"/>
  <c r="L67" i="6"/>
  <c r="J61" i="6"/>
  <c r="L80" i="6"/>
  <c r="L78" i="6"/>
  <c r="J75" i="6"/>
  <c r="E83" i="6"/>
  <c r="F83" i="6" s="1"/>
  <c r="L64" i="6"/>
  <c r="E63" i="6"/>
  <c r="F63" i="6" s="1"/>
  <c r="B14" i="6"/>
  <c r="B18" i="6" a="1"/>
  <c r="C82" i="6" l="1"/>
  <c r="D82" i="6" s="1"/>
  <c r="G82" i="6" s="1"/>
  <c r="H82" i="6" s="1"/>
  <c r="K82" i="6" s="1"/>
  <c r="M82" i="6" s="1"/>
  <c r="D179" i="6"/>
  <c r="H179" i="6" s="1"/>
  <c r="C60" i="6"/>
  <c r="D60" i="6" s="1"/>
  <c r="G60" i="6" s="1"/>
  <c r="H60" i="6" s="1"/>
  <c r="K60" i="6" s="1"/>
  <c r="M60" i="6" s="1"/>
  <c r="C61" i="6"/>
  <c r="D61" i="6" s="1"/>
  <c r="G61" i="6" s="1"/>
  <c r="H61" i="6" s="1"/>
  <c r="K61" i="6" s="1"/>
  <c r="M61" i="6" s="1"/>
  <c r="C72" i="6"/>
  <c r="D72" i="6" s="1"/>
  <c r="F176" i="6"/>
  <c r="I176" i="6" s="1"/>
  <c r="F180" i="6"/>
  <c r="I180" i="6" s="1"/>
  <c r="C77" i="6"/>
  <c r="D77" i="6" s="1"/>
  <c r="G77" i="6" s="1"/>
  <c r="H77" i="6" s="1"/>
  <c r="K77" i="6" s="1"/>
  <c r="M77" i="6" s="1"/>
  <c r="C80" i="6"/>
  <c r="D80" i="6" s="1"/>
  <c r="C69" i="6"/>
  <c r="D69" i="6" s="1"/>
  <c r="G69" i="6" s="1"/>
  <c r="H69" i="6" s="1"/>
  <c r="K69" i="6" s="1"/>
  <c r="M69" i="6" s="1"/>
  <c r="C79" i="6"/>
  <c r="D79" i="6" s="1"/>
  <c r="G79" i="6" s="1"/>
  <c r="H79" i="6" s="1"/>
  <c r="K79" i="6" s="1"/>
  <c r="M79" i="6" s="1"/>
  <c r="F164" i="6"/>
  <c r="I164" i="6" s="1"/>
  <c r="C85" i="6"/>
  <c r="D85" i="6" s="1"/>
  <c r="G85" i="6" s="1"/>
  <c r="H85" i="6" s="1"/>
  <c r="K85" i="6" s="1"/>
  <c r="M85" i="6" s="1"/>
  <c r="F167" i="6"/>
  <c r="I167" i="6" s="1"/>
  <c r="F181" i="6"/>
  <c r="I181" i="6" s="1"/>
  <c r="D181" i="6"/>
  <c r="H181" i="6" s="1"/>
  <c r="F183" i="6"/>
  <c r="I183" i="6" s="1"/>
  <c r="D183" i="6"/>
  <c r="H183" i="6" s="1"/>
  <c r="D163" i="6"/>
  <c r="H163" i="6" s="1"/>
  <c r="F163" i="6"/>
  <c r="I163" i="6" s="1"/>
  <c r="D184" i="6"/>
  <c r="H184" i="6" s="1"/>
  <c r="F184" i="6"/>
  <c r="I184" i="6" s="1"/>
  <c r="D173" i="6"/>
  <c r="H173" i="6" s="1"/>
  <c r="F173" i="6"/>
  <c r="I173" i="6" s="1"/>
  <c r="F182" i="6"/>
  <c r="I182" i="6" s="1"/>
  <c r="D182" i="6"/>
  <c r="H182" i="6" s="1"/>
  <c r="D162" i="6"/>
  <c r="H162" i="6" s="1"/>
  <c r="F162" i="6"/>
  <c r="I162" i="6" s="1"/>
  <c r="F169" i="6"/>
  <c r="I169" i="6" s="1"/>
  <c r="D169" i="6"/>
  <c r="H169" i="6" s="1"/>
  <c r="D177" i="6"/>
  <c r="H177" i="6" s="1"/>
  <c r="F177" i="6"/>
  <c r="I177" i="6" s="1"/>
  <c r="D166" i="6"/>
  <c r="H166" i="6" s="1"/>
  <c r="F166" i="6"/>
  <c r="I166" i="6" s="1"/>
  <c r="D175" i="6"/>
  <c r="H175" i="6" s="1"/>
  <c r="F175" i="6"/>
  <c r="I175" i="6" s="1"/>
  <c r="D160" i="6"/>
  <c r="H160" i="6" s="1"/>
  <c r="F160" i="6"/>
  <c r="I160" i="6" s="1"/>
  <c r="F171" i="6"/>
  <c r="I171" i="6" s="1"/>
  <c r="D171" i="6"/>
  <c r="H171" i="6" s="1"/>
  <c r="D168" i="6"/>
  <c r="H168" i="6" s="1"/>
  <c r="F168" i="6"/>
  <c r="I168" i="6" s="1"/>
  <c r="F161" i="6"/>
  <c r="I161" i="6" s="1"/>
  <c r="C71" i="6"/>
  <c r="D71" i="6" s="1"/>
  <c r="G71" i="6" s="1"/>
  <c r="H71" i="6" s="1"/>
  <c r="K71" i="6" s="1"/>
  <c r="M71" i="6" s="1"/>
  <c r="C74" i="6"/>
  <c r="D74" i="6" s="1"/>
  <c r="G74" i="6" s="1"/>
  <c r="H74" i="6" s="1"/>
  <c r="K74" i="6" s="1"/>
  <c r="M74" i="6" s="1"/>
  <c r="C76" i="6"/>
  <c r="D76" i="6" s="1"/>
  <c r="G76" i="6" s="1"/>
  <c r="H76" i="6" s="1"/>
  <c r="K76" i="6" s="1"/>
  <c r="M76" i="6" s="1"/>
  <c r="C67" i="6"/>
  <c r="D67" i="6" s="1"/>
  <c r="F178" i="6"/>
  <c r="I178" i="6" s="1"/>
  <c r="F165" i="6"/>
  <c r="I165" i="6" s="1"/>
  <c r="C66" i="6"/>
  <c r="D66" i="6" s="1"/>
  <c r="C73" i="6"/>
  <c r="D73" i="6" s="1"/>
  <c r="G73" i="6" s="1"/>
  <c r="H73" i="6" s="1"/>
  <c r="K73" i="6" s="1"/>
  <c r="M73" i="6" s="1"/>
  <c r="C81" i="6"/>
  <c r="D81" i="6" s="1"/>
  <c r="G81" i="6" s="1"/>
  <c r="H81" i="6" s="1"/>
  <c r="K81" i="6" s="1"/>
  <c r="M81" i="6" s="1"/>
  <c r="G84" i="6"/>
  <c r="H84" i="6" s="1"/>
  <c r="K84" i="6" s="1"/>
  <c r="M84" i="6" s="1"/>
  <c r="F159" i="6"/>
  <c r="I159" i="6" s="1"/>
  <c r="F172" i="6"/>
  <c r="I172" i="6" s="1"/>
  <c r="C63" i="6"/>
  <c r="D63" i="6" s="1"/>
  <c r="G63" i="6" s="1"/>
  <c r="H63" i="6" s="1"/>
  <c r="K63" i="6" s="1"/>
  <c r="M63" i="6" s="1"/>
  <c r="C68" i="6"/>
  <c r="D68" i="6" s="1"/>
  <c r="G68" i="6" s="1"/>
  <c r="H68" i="6" s="1"/>
  <c r="K68" i="6" s="1"/>
  <c r="M68" i="6" s="1"/>
  <c r="F170" i="6"/>
  <c r="I170" i="6" s="1"/>
  <c r="C75" i="6"/>
  <c r="D75" i="6" s="1"/>
  <c r="G75" i="6" s="1"/>
  <c r="H75" i="6" s="1"/>
  <c r="K75" i="6" s="1"/>
  <c r="M75" i="6" s="1"/>
  <c r="C83" i="6"/>
  <c r="D83" i="6" s="1"/>
  <c r="G83" i="6" s="1"/>
  <c r="H83" i="6" s="1"/>
  <c r="K83" i="6" s="1"/>
  <c r="M83" i="6" s="1"/>
  <c r="F174" i="6"/>
  <c r="I174" i="6" s="1"/>
  <c r="G65" i="6"/>
  <c r="H65" i="6" s="1"/>
  <c r="K65" i="6" s="1"/>
  <c r="M65" i="6" s="1"/>
  <c r="B124" i="6"/>
  <c r="C11" i="4" s="1"/>
  <c r="E11" i="4" s="1"/>
  <c r="L56" i="6"/>
  <c r="G78" i="6"/>
  <c r="H78" i="6" s="1"/>
  <c r="K78" i="6" s="1"/>
  <c r="M78" i="6" s="1"/>
  <c r="G62" i="6"/>
  <c r="H62" i="6" s="1"/>
  <c r="K62" i="6" s="1"/>
  <c r="M62" i="6" s="1"/>
  <c r="O156" i="6"/>
  <c r="N56" i="6"/>
  <c r="M56" i="6"/>
  <c r="O56" i="6"/>
  <c r="G70" i="6"/>
  <c r="H70" i="6" s="1"/>
  <c r="K70" i="6" s="1"/>
  <c r="M70" i="6" s="1"/>
  <c r="G80" i="6"/>
  <c r="H80" i="6" s="1"/>
  <c r="K80" i="6" s="1"/>
  <c r="M80" i="6" s="1"/>
  <c r="G64" i="6"/>
  <c r="H64" i="6" s="1"/>
  <c r="K64" i="6" s="1"/>
  <c r="M64" i="6" s="1"/>
  <c r="G67" i="6"/>
  <c r="H67" i="6" s="1"/>
  <c r="K67" i="6" s="1"/>
  <c r="M67" i="6" s="1"/>
  <c r="G72" i="6"/>
  <c r="H72" i="6" s="1"/>
  <c r="K72" i="6" s="1"/>
  <c r="M72" i="6" s="1"/>
  <c r="B18" i="6"/>
  <c r="B19" i="6" s="1"/>
  <c r="C7" i="4" s="1"/>
  <c r="E7" i="4" s="1"/>
  <c r="B150" i="6" l="1"/>
  <c r="B153" i="6" s="1"/>
  <c r="B149" i="6"/>
  <c r="B152" i="6" s="1"/>
  <c r="G66" i="6"/>
  <c r="B154" i="6"/>
  <c r="C12" i="4" s="1"/>
  <c r="E12" i="4" s="1"/>
  <c r="H66" i="6" l="1"/>
  <c r="K66" i="6" s="1"/>
  <c r="M66" i="6" l="1"/>
  <c r="B53" i="6" s="1"/>
  <c r="B54" i="6" l="1"/>
  <c r="C10" i="4" s="1"/>
  <c r="E10" i="4" s="1"/>
  <c r="J204" i="2" l="1"/>
  <c r="H204" i="2"/>
  <c r="H170" i="2"/>
  <c r="J170" i="2"/>
  <c r="E14" i="4" l="1"/>
  <c r="G273" i="2" s="1"/>
  <c r="E13" i="4"/>
  <c r="G272" i="2" s="1"/>
  <c r="G265" i="2" l="1"/>
  <c r="G266" i="2" l="1"/>
  <c r="C18" i="4"/>
  <c r="D18" i="4" l="1"/>
  <c r="E18" i="4" s="1"/>
  <c r="E15" i="4" s="1"/>
  <c r="G274" i="2" s="1"/>
  <c r="G271" i="2"/>
  <c r="C9" i="4"/>
  <c r="E9" i="4" s="1"/>
  <c r="G268" i="2" s="1"/>
  <c r="C8" i="4"/>
  <c r="E8" i="4" s="1"/>
  <c r="G267" i="2" s="1"/>
  <c r="G270" i="2"/>
  <c r="G262" i="2" l="1"/>
  <c r="G269" i="2"/>
  <c r="G259" i="2" s="1"/>
  <c r="G27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author>
  </authors>
  <commentList>
    <comment ref="G214" authorId="0" shapeId="0" xr:uid="{EB2EFE80-8B47-44BC-81F3-722F7E61FE79}">
      <text>
        <r>
          <rPr>
            <b/>
            <sz val="9"/>
            <color indexed="81"/>
            <rFont val="Tahoma"/>
            <family val="2"/>
          </rPr>
          <t>Michael:</t>
        </r>
        <r>
          <rPr>
            <sz val="9"/>
            <color indexed="81"/>
            <rFont val="Tahoma"/>
            <family val="2"/>
          </rPr>
          <t xml:space="preserve">
Estimated increase in crop yield and pasture production resulting from a 2.6% increase in rainfall.</t>
        </r>
      </text>
    </comment>
    <comment ref="H249" authorId="0" shapeId="0" xr:uid="{CA95A30B-DB32-4736-8DED-5C01E8123D72}">
      <text>
        <r>
          <rPr>
            <sz val="9"/>
            <color indexed="81"/>
            <rFont val="Tahoma"/>
            <family val="2"/>
          </rPr>
          <t>Only include if you have livestock on your property. To realise this benefit you must allocate high priority mobs to sheltered areas.</t>
        </r>
      </text>
    </comment>
    <comment ref="H253" authorId="0" shapeId="0" xr:uid="{1CA50629-3CCA-45E0-9947-ADE2BFDFB2DA}">
      <text>
        <r>
          <rPr>
            <sz val="9"/>
            <color indexed="81"/>
            <rFont val="Tahoma"/>
            <family val="2"/>
          </rPr>
          <t>It is expected that there will be no micro-climate benefits unless you are establishing large areas of vegetation.</t>
        </r>
      </text>
    </comment>
    <comment ref="H254" authorId="0" shapeId="0" xr:uid="{EB5F5067-CFD5-4B29-83FB-A68BE62D1737}">
      <text>
        <r>
          <rPr>
            <sz val="9"/>
            <color indexed="81"/>
            <rFont val="Tahoma"/>
            <family val="2"/>
          </rPr>
          <t>Only include if you have livestock and believe that tree belts would allow you to graze pasture more heavily. It is expected that tree belts would have to be spaced within 75m to reduce average wind enough to allow additional grazing.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author>
  </authors>
  <commentList>
    <comment ref="A53" authorId="0" shapeId="0" xr:uid="{882ED4BA-F54A-4F0D-97A3-D8D3FFFA98C0}">
      <text>
        <r>
          <rPr>
            <b/>
            <sz val="9"/>
            <color indexed="81"/>
            <rFont val="Tahoma"/>
            <family val="2"/>
          </rPr>
          <t>Michael:</t>
        </r>
        <r>
          <rPr>
            <sz val="9"/>
            <color indexed="81"/>
            <rFont val="Tahoma"/>
            <family val="2"/>
          </rPr>
          <t xml:space="preserve">
area of land over which vegetation can influence local atmospheric moisture and convective rainfall processes.</t>
        </r>
      </text>
    </comment>
    <comment ref="B53" authorId="0" shapeId="0" xr:uid="{16706962-A910-4C90-AE80-BCE92D689381}">
      <text>
        <r>
          <rPr>
            <b/>
            <sz val="9"/>
            <color indexed="81"/>
            <rFont val="Tahoma"/>
            <family val="2"/>
          </rPr>
          <t>Michael:</t>
        </r>
        <r>
          <rPr>
            <sz val="9"/>
            <color indexed="81"/>
            <rFont val="Tahoma"/>
            <family val="2"/>
          </rPr>
          <t xml:space="preserve">
rainfall impact ie ground area that impacts rainfall.
</t>
        </r>
      </text>
    </comment>
    <comment ref="B54" authorId="0" shapeId="0" xr:uid="{D6A94E1F-A04D-4B85-9F3F-A25E9539F726}">
      <text>
        <r>
          <rPr>
            <b/>
            <sz val="9"/>
            <color indexed="81"/>
            <rFont val="Tahoma"/>
            <family val="2"/>
          </rPr>
          <t>Michael:</t>
        </r>
        <r>
          <rPr>
            <sz val="9"/>
            <color indexed="81"/>
            <rFont val="Tahoma"/>
            <family val="2"/>
          </rPr>
          <t xml:space="preserve">
15% of area as trees increases rainfall by 2.6%</t>
        </r>
      </text>
    </comment>
    <comment ref="C62" authorId="0" shapeId="0" xr:uid="{716DD665-5058-4662-A4B5-14702168FAF4}">
      <text>
        <r>
          <rPr>
            <b/>
            <sz val="9"/>
            <color indexed="81"/>
            <rFont val="Tahoma"/>
            <family val="2"/>
          </rPr>
          <t>Michael:</t>
        </r>
        <r>
          <rPr>
            <sz val="9"/>
            <color indexed="81"/>
            <rFont val="Tahoma"/>
            <family val="2"/>
          </rPr>
          <t xml:space="preserve">
only provides shelter 2/5 yrs
</t>
        </r>
      </text>
    </comment>
    <comment ref="C66" authorId="0" shapeId="0" xr:uid="{A84F3FEA-CBAE-494F-A528-A52F06E6A97C}">
      <text>
        <r>
          <rPr>
            <b/>
            <sz val="9"/>
            <color indexed="81"/>
            <rFont val="Tahoma"/>
            <family val="2"/>
          </rPr>
          <t>Michael:</t>
        </r>
        <r>
          <rPr>
            <sz val="9"/>
            <color indexed="81"/>
            <rFont val="Tahoma"/>
            <family val="2"/>
          </rPr>
          <t xml:space="preserve">
only provides shelter 2/5 yrs
</t>
        </r>
      </text>
    </comment>
    <comment ref="D133" authorId="0" shapeId="0" xr:uid="{E613D6D9-8092-4E0A-ABCC-88F49465A1AE}">
      <text>
        <r>
          <rPr>
            <b/>
            <sz val="9"/>
            <color indexed="81"/>
            <rFont val="Tahoma"/>
            <charset val="1"/>
          </rPr>
          <t>Michael:</t>
        </r>
        <r>
          <rPr>
            <sz val="9"/>
            <color indexed="81"/>
            <rFont val="Tahoma"/>
            <charset val="1"/>
          </rPr>
          <t xml:space="preserve">
Re calculated after reducing interaction effects of harvested belts.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author>
  </authors>
  <commentList>
    <comment ref="I29" authorId="0" shapeId="0" xr:uid="{9F8109F4-DE44-4989-9832-0DF689A22780}">
      <text>
        <r>
          <rPr>
            <b/>
            <sz val="9"/>
            <color indexed="81"/>
            <rFont val="Tahoma"/>
            <family val="2"/>
          </rPr>
          <t>Michael:</t>
        </r>
        <r>
          <rPr>
            <sz val="9"/>
            <color indexed="81"/>
            <rFont val="Tahoma"/>
            <family val="2"/>
          </rPr>
          <t xml:space="preserve">
Faster growing tree. But it gets harvested</t>
        </r>
      </text>
    </comment>
    <comment ref="O29" authorId="0" shapeId="0" xr:uid="{8B4B28FC-8AF6-41A8-86A5-9F4088B5AB86}">
      <text>
        <r>
          <rPr>
            <b/>
            <sz val="9"/>
            <color indexed="81"/>
            <rFont val="Tahoma"/>
            <family val="2"/>
          </rPr>
          <t>Michael:</t>
        </r>
        <r>
          <rPr>
            <sz val="9"/>
            <color indexed="81"/>
            <rFont val="Tahoma"/>
            <family val="2"/>
          </rPr>
          <t xml:space="preserve">
Faster growing tree. But it gets harvested</t>
        </r>
      </text>
    </comment>
    <comment ref="E31" authorId="0" shapeId="0" xr:uid="{84DB62E5-C2E4-4767-A2E6-795108CFB60D}">
      <text>
        <r>
          <rPr>
            <b/>
            <sz val="9"/>
            <color indexed="81"/>
            <rFont val="Tahoma"/>
            <family val="2"/>
          </rPr>
          <t>Michael:</t>
        </r>
        <r>
          <rPr>
            <sz val="9"/>
            <color indexed="81"/>
            <rFont val="Tahoma"/>
            <family val="2"/>
          </rPr>
          <t xml:space="preserve">
the is end of yr 1</t>
        </r>
      </text>
    </comment>
    <comment ref="K31" authorId="0" shapeId="0" xr:uid="{24C87226-0809-49CF-833D-B05441BE1842}">
      <text>
        <r>
          <rPr>
            <b/>
            <sz val="9"/>
            <color indexed="81"/>
            <rFont val="Tahoma"/>
            <family val="2"/>
          </rPr>
          <t>Michael:</t>
        </r>
        <r>
          <rPr>
            <sz val="9"/>
            <color indexed="81"/>
            <rFont val="Tahoma"/>
            <family val="2"/>
          </rPr>
          <t xml:space="preserve">
the is end of yr 1</t>
        </r>
      </text>
    </comment>
    <comment ref="I129" authorId="0" shapeId="0" xr:uid="{7CEF03A7-C34C-4C3B-B6BF-B3FAF4354E45}">
      <text>
        <r>
          <rPr>
            <b/>
            <sz val="9"/>
            <color indexed="81"/>
            <rFont val="Tahoma"/>
            <family val="2"/>
          </rPr>
          <t>Michael:</t>
        </r>
        <r>
          <rPr>
            <sz val="9"/>
            <color indexed="81"/>
            <rFont val="Tahoma"/>
            <family val="2"/>
          </rPr>
          <t xml:space="preserve">
Faster growing tree. But it gets harvested</t>
        </r>
      </text>
    </comment>
    <comment ref="O129" authorId="0" shapeId="0" xr:uid="{0A69AD12-AC56-427A-B4F1-46E1C532F120}">
      <text>
        <r>
          <rPr>
            <b/>
            <sz val="9"/>
            <color indexed="81"/>
            <rFont val="Tahoma"/>
            <family val="2"/>
          </rPr>
          <t>Michael:</t>
        </r>
        <r>
          <rPr>
            <sz val="9"/>
            <color indexed="81"/>
            <rFont val="Tahoma"/>
            <family val="2"/>
          </rPr>
          <t xml:space="preserve">
Faster growing tree. But it gets harvested</t>
        </r>
      </text>
    </comment>
    <comment ref="E131" authorId="0" shapeId="0" xr:uid="{B78E89DC-7A17-4CFA-AD81-6867EC5FCBD4}">
      <text>
        <r>
          <rPr>
            <b/>
            <sz val="9"/>
            <color indexed="81"/>
            <rFont val="Tahoma"/>
            <family val="2"/>
          </rPr>
          <t>Michael:</t>
        </r>
        <r>
          <rPr>
            <sz val="9"/>
            <color indexed="81"/>
            <rFont val="Tahoma"/>
            <family val="2"/>
          </rPr>
          <t xml:space="preserve">
the is end of yr 1</t>
        </r>
      </text>
    </comment>
    <comment ref="K131" authorId="0" shapeId="0" xr:uid="{2B0343B5-CA74-41B2-A11F-CE4049C7CB0F}">
      <text>
        <r>
          <rPr>
            <b/>
            <sz val="9"/>
            <color indexed="81"/>
            <rFont val="Tahoma"/>
            <family val="2"/>
          </rPr>
          <t>Michael:</t>
        </r>
        <r>
          <rPr>
            <sz val="9"/>
            <color indexed="81"/>
            <rFont val="Tahoma"/>
            <family val="2"/>
          </rPr>
          <t xml:space="preserve">
the is end of yr 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author>
  </authors>
  <commentList>
    <comment ref="I1" authorId="0" shapeId="0" xr:uid="{0A356E8A-2111-4768-BAF7-C1ADC31644E2}">
      <text>
        <r>
          <rPr>
            <b/>
            <sz val="9"/>
            <color indexed="81"/>
            <rFont val="Tahoma"/>
            <family val="2"/>
          </rPr>
          <t>Michael:</t>
        </r>
        <r>
          <rPr>
            <sz val="9"/>
            <color indexed="81"/>
            <rFont val="Tahoma"/>
            <family val="2"/>
          </rPr>
          <t xml:space="preserve">
Probably need to link this to rainfall then simulate the yield impact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<sst xmlns="http://schemas.openxmlformats.org/spreadsheetml/2006/main" count="690" uniqueCount="287">
  <si>
    <t>Background</t>
  </si>
  <si>
    <t>Biomass production</t>
  </si>
  <si>
    <t>Groundwater discharge and salinity</t>
  </si>
  <si>
    <t>Carbon sequestration</t>
  </si>
  <si>
    <t>Biodiversity</t>
  </si>
  <si>
    <t>Shelter</t>
  </si>
  <si>
    <t>Economics</t>
  </si>
  <si>
    <t>Location</t>
  </si>
  <si>
    <t>Central wheatbelt</t>
  </si>
  <si>
    <t>Eastern wheatbelt</t>
  </si>
  <si>
    <t>Results</t>
  </si>
  <si>
    <t>A guide to making on-farm tree planting decisions</t>
  </si>
  <si>
    <t>Livesock shelter benefits</t>
  </si>
  <si>
    <t>Carbon credit price</t>
  </si>
  <si>
    <t>Standard</t>
  </si>
  <si>
    <t>Scenario</t>
  </si>
  <si>
    <t>Biodiversity credit price</t>
  </si>
  <si>
    <t>Biomass price</t>
  </si>
  <si>
    <t>Land opportunity cost</t>
  </si>
  <si>
    <t>+trees</t>
  </si>
  <si>
    <t>+livestock shelter</t>
  </si>
  <si>
    <t>+adj pad interaction</t>
  </si>
  <si>
    <t>+carbon</t>
  </si>
  <si>
    <t>+biodiversity</t>
  </si>
  <si>
    <t>+harvesting</t>
  </si>
  <si>
    <t>Micro-climate benefit</t>
  </si>
  <si>
    <t>nil</t>
  </si>
  <si>
    <t>+micro-climate</t>
  </si>
  <si>
    <t>Establishment Costs</t>
  </si>
  <si>
    <t>Trees can offer valuable shelter to livestock, reducing exposure to harsh weather, lowering energy expenditure, and improving survival rates—particularly for vulnerable animals such as twin-bearing ewes.</t>
  </si>
  <si>
    <t>Livestock behaviour: Animals do not always seek shelter, so the width and layout of the paddock affect how much protection they receive.</t>
  </si>
  <si>
    <t>Mob priority and management: Greater benefit is achieved when high-priority mobs (e.g. scanned twin-bearing ewes) are placed in sheltered paddocks. If a farmer does not scan for pregnancy status, shelter is less likely to be targeted where it’s most effective.</t>
  </si>
  <si>
    <t>Paddock configuration: Narrower or well-oriented paddocks provide better access to tree shelter across the mob.</t>
  </si>
  <si>
    <t>The economic benefits of shelter depends on several factors:</t>
  </si>
  <si>
    <t>Adjacent pasture and crop production</t>
  </si>
  <si>
    <t>Tree belts can influence pasture and crop yields through two competing effects:</t>
  </si>
  <si>
    <t>Reduced yield near trees due to shading and competition for water and nutrients. Production is reduced by 48% between 2 and 11.2m from the trees.</t>
  </si>
  <si>
    <t>Increased yield beyond the competition zone due to protection from wind, which reduces plant stress and evaporation. Yield is increased 4% between 16 and 80m from trees.</t>
  </si>
  <si>
    <t>The costs associated with tree plantations include:</t>
  </si>
  <si>
    <t>The opportunity cost of the land that is planted to the trees</t>
  </si>
  <si>
    <t>Costs to adjacent land that is affected by the trees (see below for more info)</t>
  </si>
  <si>
    <t>Establishment and maintenance costs for the trees</t>
  </si>
  <si>
    <t>You can sell them, providing an additional revenue stream for your farm and a return on investment. </t>
  </si>
  <si>
    <t>You can hold them as a future asset.</t>
  </si>
  <si>
    <t>You can inset them into your farm, meaning that you are using self-generated ACCUs to reduce your farm’s emissions.  </t>
  </si>
  <si>
    <t>Planting trees is a method of carbon sequestration. Projects registered under the ACCU Scheme can generate tradable carbon credits (ACCUs). Once generated, you have three management options: </t>
  </si>
  <si>
    <t>Establishing a carbon project incurs costs for monitoring, administration and compliance.</t>
  </si>
  <si>
    <t xml:space="preserve">The number of credits and the sale price varies a lot by vegetation type and local demand, but past data shows that sites yield often falls around 4–8 credits per hectare and recent sales suggest prices commonly in the order of $2,300–$8,500 per credit </t>
  </si>
  <si>
    <t>Tree plantations, particularly those using native species, can significantly enhance on-farm biodiversity. Emerging environmental markets now offer financial incentives and potential income streams for projects that deliver these biodiversity benefits.</t>
  </si>
  <si>
    <t>Above-ground biomass can be harvested and sold to produce clean energy and biofuels, such as diesel, through processes like pyrolysis.</t>
  </si>
  <si>
    <t>Costs include harvesting, on-farm transport and road transport to the bioenergy plant.</t>
  </si>
  <si>
    <t>Erosion</t>
  </si>
  <si>
    <t xml:space="preserve">Australian soils are prone to erosion, which strips away valuable topsoil and nutrients. Vegetation helps stabilise the soil with their root systems, while their canopies reduce wind and water impact. </t>
  </si>
  <si>
    <t xml:space="preserve">The economic implications of erosion control are highly farm-specific. The extent of any benefit depends on local climate, soil type, and the practices already in place to manage it. </t>
  </si>
  <si>
    <t>Most farms have adopted effective erosion-mitigating measures—such as minimum tillage and stubble retention—so establishing additional trees often provides limited direct financial return.</t>
  </si>
  <si>
    <t xml:space="preserve">Dryland salinity continues to challenge WA farms, reducing yield and rendering land unproductive. Deep-rooted vegetation draws water from deeper in the soil profile, helping to lower the water table and prevent saline groundwater from rising. </t>
  </si>
  <si>
    <t>Plantings need to be strategically located, typically targeting recharge areas and valley floors, to maximise their impact on reducing salinity.</t>
  </si>
  <si>
    <t>Research indicates that substantial revegetation—potentially up to 50% of the catchment—may be required to effectively halt the spread of salinity.</t>
  </si>
  <si>
    <t xml:space="preserve">This section provides background information regarding on-farm tree planting. </t>
  </si>
  <si>
    <t>Rate of salinity spread</t>
  </si>
  <si>
    <t>Micro-climate</t>
  </si>
  <si>
    <t>At the farm scale, trees primarily influence the microclimate through evapotranspiration, which increases local humidity and slightly moderates temperature, and may also contribute to small, localised increases in rainfall</t>
  </si>
  <si>
    <t>DPIRD is currently undertaking a trial to further investigate the interaction between tree cover and microclimate changes.</t>
  </si>
  <si>
    <t>It is expected that a substantial area of tree establishment would be required before any measurable microclimate effects translate into on-farm production gains.</t>
  </si>
  <si>
    <t>Erosion Benefits</t>
  </si>
  <si>
    <t>Increased summer grazing +500kg/ha</t>
  </si>
  <si>
    <t>Low -50%</t>
  </si>
  <si>
    <t>Planting Focus</t>
  </si>
  <si>
    <t>Carb Block</t>
  </si>
  <si>
    <t>Carb Belt</t>
  </si>
  <si>
    <t>Bio Block</t>
  </si>
  <si>
    <t>Harv Belt</t>
  </si>
  <si>
    <t>Soil</t>
  </si>
  <si>
    <t>Poor</t>
  </si>
  <si>
    <t>Good</t>
  </si>
  <si>
    <t>Planting Area (ha)</t>
  </si>
  <si>
    <t>Planting area (ha)</t>
  </si>
  <si>
    <t>Area</t>
  </si>
  <si>
    <t>Include carbon credit sale</t>
  </si>
  <si>
    <t>Include biomass sale</t>
  </si>
  <si>
    <t>Include biodiversity credit sale</t>
  </si>
  <si>
    <t>Detailed Results</t>
  </si>
  <si>
    <t>This section quantifies the economics of various tree plantation scenarios.</t>
  </si>
  <si>
    <t>However, tree establishment may still offer economic benefits where it allow intensification. For example, well-placed shelterbelts could enable farmers to graze paddocks more intensively.</t>
  </si>
  <si>
    <t>Reduction in wholefarm groundwater discharge (mm)</t>
  </si>
  <si>
    <t>More Information</t>
  </si>
  <si>
    <t>Where can more information be found?</t>
  </si>
  <si>
    <t>here</t>
  </si>
  <si>
    <t xml:space="preserve">For more customised modelling and a deeper understanding of the economics, users can go: </t>
  </si>
  <si>
    <t>A full report with more background information and "how to" instructions can be found here:</t>
  </si>
  <si>
    <t>Control</t>
  </si>
  <si>
    <t>Land opp cost</t>
  </si>
  <si>
    <t>Salinity spread</t>
  </si>
  <si>
    <t>Farm Profit</t>
  </si>
  <si>
    <t>Opp cost</t>
  </si>
  <si>
    <t>Opp cost ($/ha)</t>
  </si>
  <si>
    <t>Erosion limit</t>
  </si>
  <si>
    <t>profit ($/ha of tree)</t>
  </si>
  <si>
    <t>Components</t>
  </si>
  <si>
    <t>Component option</t>
  </si>
  <si>
    <t>Output</t>
  </si>
  <si>
    <t>control</t>
  </si>
  <si>
    <t>Included</t>
  </si>
  <si>
    <t>Carbon credit price ($/t co2e)</t>
  </si>
  <si>
    <t>Biomass price ($/t green)</t>
  </si>
  <si>
    <t>Biodiversity value ($/ha)</t>
  </si>
  <si>
    <t>Low +50%</t>
  </si>
  <si>
    <t>+increased grazing</t>
  </si>
  <si>
    <t>Additional grazing due to lower erosion risk</t>
  </si>
  <si>
    <t>+reduced salinity spread</t>
  </si>
  <si>
    <t>-</t>
  </si>
  <si>
    <t>Groundwater Recharge (mm)</t>
  </si>
  <si>
    <t>Profit ($/ha of trees)</t>
  </si>
  <si>
    <t>Recharge (mm)</t>
  </si>
  <si>
    <t>Reduction in recharge</t>
  </si>
  <si>
    <t>Farm Profit Increase</t>
  </si>
  <si>
    <t>Footprint area (ha)</t>
  </si>
  <si>
    <t>Area of trees required to increase rainfall by 2.6%</t>
  </si>
  <si>
    <t>$/ha of trees/yr</t>
  </si>
  <si>
    <t>Economic impact</t>
  </si>
  <si>
    <t>Scenario Inputs</t>
  </si>
  <si>
    <t>Cost Value</t>
  </si>
  <si>
    <t>Unit</t>
  </si>
  <si>
    <t>Cost</t>
  </si>
  <si>
    <t>Category</t>
  </si>
  <si>
    <t>Cost Item</t>
  </si>
  <si>
    <t>Initial Costs - Site Prep</t>
  </si>
  <si>
    <t>Ripping/Mounding</t>
  </si>
  <si>
    <t>$/ha</t>
  </si>
  <si>
    <t>Initial Weed Control</t>
  </si>
  <si>
    <t>Fertiliser (Base)</t>
  </si>
  <si>
    <t>Fertiliser (Extra if Harvested)</t>
  </si>
  <si>
    <t>Initial Costs - Planting</t>
  </si>
  <si>
    <t>Seedlings</t>
  </si>
  <si>
    <t>$/plant</t>
  </si>
  <si>
    <t>Mortality</t>
  </si>
  <si>
    <t>%</t>
  </si>
  <si>
    <t>Planting Rate</t>
  </si>
  <si>
    <t>plants/day</t>
  </si>
  <si>
    <t>Planting Equipment</t>
  </si>
  <si>
    <t>$/day</t>
  </si>
  <si>
    <t>Farmer Labour (Planting)</t>
  </si>
  <si>
    <t>Year 1 Costs</t>
  </si>
  <si>
    <t>Weed Control</t>
  </si>
  <si>
    <t>Ongoing Costs</t>
  </si>
  <si>
    <t>Sequestration Costs</t>
  </si>
  <si>
    <t>Setup of sequestration monitoring &amp; auditing</t>
  </si>
  <si>
    <t>$/farm</t>
  </si>
  <si>
    <t>Annual monitoring &amp; auditing of sequestration</t>
  </si>
  <si>
    <t>Biodiversity Cost</t>
  </si>
  <si>
    <t>Setup of biodiversity monitoring &amp; auditing</t>
  </si>
  <si>
    <t>Annual monitoring &amp; auditing of biodiversity</t>
  </si>
  <si>
    <t xml:space="preserve">Harvesting Costs </t>
  </si>
  <si>
    <t>Contract Cost</t>
  </si>
  <si>
    <t>$/hr</t>
  </si>
  <si>
    <t>Harvest Rate</t>
  </si>
  <si>
    <t>t/hr</t>
  </si>
  <si>
    <t>Transport</t>
  </si>
  <si>
    <t>Cabon sequestration</t>
  </si>
  <si>
    <t>Average yield (green t/ha/yr)</t>
  </si>
  <si>
    <t>Low (-50%)</t>
  </si>
  <si>
    <t>High (+50%)</t>
  </si>
  <si>
    <t>Carbon price ($/t co2e)</t>
  </si>
  <si>
    <t>Biomass Harvesting</t>
  </si>
  <si>
    <t xml:space="preserve">Micro-climate </t>
  </si>
  <si>
    <t>Groundwater and Salinity</t>
  </si>
  <si>
    <t>Central Wheatbelt</t>
  </si>
  <si>
    <t>Eastern Wheatbelt</t>
  </si>
  <si>
    <t>Production increase</t>
  </si>
  <si>
    <t>Within this footprint, a 15% increase in tree cover was assumed to increase rainfall by 2.6% (Syktus &amp; McAlpine, 2016).</t>
  </si>
  <si>
    <t xml:space="preserve">LMU </t>
  </si>
  <si>
    <t>Recharge: annual plants (mm)</t>
  </si>
  <si>
    <t>Recharge: trees (mm)</t>
  </si>
  <si>
    <t>LMU 0</t>
  </si>
  <si>
    <t>LMU 1</t>
  </si>
  <si>
    <t>LMU 2</t>
  </si>
  <si>
    <t>LMU 3</t>
  </si>
  <si>
    <t>LMU 4</t>
  </si>
  <si>
    <t>LMU 5</t>
  </si>
  <si>
    <t>LMU 6</t>
  </si>
  <si>
    <t>LMU 7</t>
  </si>
  <si>
    <t xml:space="preserve">Following Flugge et al. (2006), the baseline rate of salinity spread was assumed to be 0.89 % yr⁻¹ under standard management. </t>
  </si>
  <si>
    <t xml:space="preserve">A 4% yield increase from wind protection between 4-20H (16-80m). </t>
  </si>
  <si>
    <t>Cost of salinity spread</t>
  </si>
  <si>
    <t>$/t/km</t>
  </si>
  <si>
    <t>shelter benefits ($/ha)</t>
  </si>
  <si>
    <t>Paddock interactions</t>
  </si>
  <si>
    <t>Interaction benefits ($/ha)</t>
  </si>
  <si>
    <t>Definitions</t>
  </si>
  <si>
    <t>Tree belt (or block):</t>
  </si>
  <si>
    <t>Competition zone:</t>
  </si>
  <si>
    <r>
      <t xml:space="preserve">The tree belt refers to the area occupied by planted trees, including an adjacent </t>
    </r>
    <r>
      <rPr>
        <i/>
        <sz val="11"/>
        <color theme="1"/>
        <rFont val="Aptos Narrow"/>
        <family val="2"/>
        <scheme val="minor"/>
      </rPr>
      <t>side buffer</t>
    </r>
    <r>
      <rPr>
        <sz val="11"/>
        <color theme="1"/>
        <rFont val="Aptos Narrow"/>
        <family val="2"/>
        <scheme val="minor"/>
      </rPr>
      <t xml:space="preserve">. The side buffer is a no-cropping zone immediately next to the trees </t>
    </r>
  </si>
  <si>
    <t>where agricultural production is negligible or uneconomic, and therefore excluded from active use.</t>
  </si>
  <si>
    <t xml:space="preserve">The competition zone is the adjacent area that remains cropped or grazed under normal management. However, productivity in this zone may be influenced by the presence </t>
  </si>
  <si>
    <t>of trees through positive (e.g. shelter, microclimate moderation) and/or negative (e.g. competition for water, nutrients, and light) interactions.</t>
  </si>
  <si>
    <t>Adjacent pasture and crop production - competition zone</t>
  </si>
  <si>
    <t>From 0–7.2m, the average yield in this zone is estimated at 62.5% of open yield.</t>
  </si>
  <si>
    <t>In this analysis, the side buffer (no-crop zone) is 4m wide.</t>
  </si>
  <si>
    <t>Defaults</t>
  </si>
  <si>
    <t>Assumptions (adjustable cells in orange)</t>
  </si>
  <si>
    <t>To estimate potential rainfall changes from revegetation, a 10 km rainfall footprint radius was applied to</t>
  </si>
  <si>
    <t xml:space="preserve"> represent the local area influenced by vegetation. </t>
  </si>
  <si>
    <t xml:space="preserve">Shelterbelts were assumed to be 10 m wide and spaced 50 m apart, providing shelter to approximately 5 ha of pasture </t>
  </si>
  <si>
    <t>per hectare of trees and allowing an additional 250 kg DM ha⁻¹ to be grazed over summer in suitable livestock systems.</t>
  </si>
  <si>
    <t>reduction in groundwater recharge, enabling estimation of the economic benefit of tree planting through avoided future salinity impacts.</t>
  </si>
  <si>
    <t xml:space="preserve">Where trees were established, the rate of salinity expansion was assumed to decline in direct proportion to the </t>
  </si>
  <si>
    <t>Tree density</t>
  </si>
  <si>
    <t>Shrub density</t>
  </si>
  <si>
    <t>Planing density</t>
  </si>
  <si>
    <t>Discount rate</t>
  </si>
  <si>
    <t>Project length</t>
  </si>
  <si>
    <t>Initial costs (yr 1)</t>
  </si>
  <si>
    <t>Yr2 costs</t>
  </si>
  <si>
    <t>Ongoing costs (&gt;3yr)</t>
  </si>
  <si>
    <t>NPV</t>
  </si>
  <si>
    <t>Annualise the NPV</t>
  </si>
  <si>
    <t>Carbon</t>
  </si>
  <si>
    <t>Year</t>
  </si>
  <si>
    <t>Total fuel factor (kg CO2e / unit)</t>
  </si>
  <si>
    <t>Fuel N2O factor (kg CO2e / unit)</t>
  </si>
  <si>
    <t>Fuel CH4 factor (kg CO2e / unit)</t>
  </si>
  <si>
    <t>Fuel CO2 factor (kg CO2e / unit)</t>
  </si>
  <si>
    <t>Fuel used in years 2+</t>
  </si>
  <si>
    <t>Fuel used in year 1</t>
  </si>
  <si>
    <t>Fuel used at t0</t>
  </si>
  <si>
    <t>Setup cost ($/project)</t>
  </si>
  <si>
    <t>Annual monitoring cost ($/ha/yr)</t>
  </si>
  <si>
    <t>LMU carbon scalar</t>
  </si>
  <si>
    <t>Regional growth scalar</t>
  </si>
  <si>
    <t>Risk of reversal buffer</t>
  </si>
  <si>
    <t>Carbon price ($/t CO2e)</t>
  </si>
  <si>
    <t>Include carbon credit flag</t>
  </si>
  <si>
    <t>Project duration (years)</t>
  </si>
  <si>
    <t>LMU carbon scalar - poor soil</t>
  </si>
  <si>
    <t>LMU carbon scalar - good soil</t>
  </si>
  <si>
    <t>Notes</t>
  </si>
  <si>
    <t>PV of net cash flow</t>
  </si>
  <si>
    <t>Discount factor</t>
  </si>
  <si>
    <t>Net cash flow</t>
  </si>
  <si>
    <t>Fixed costs</t>
  </si>
  <si>
    <t>Variable costs ($/ha)</t>
  </si>
  <si>
    <t>Income ($/ha)</t>
  </si>
  <si>
    <t>Net CO2e (kg/ha)</t>
  </si>
  <si>
    <t>Fuel CO2e (kg/ha)</t>
  </si>
  <si>
    <t>Fuel used</t>
  </si>
  <si>
    <t>Adjusted seq. (kg/ha)</t>
  </si>
  <si>
    <t>Base seq.</t>
  </si>
  <si>
    <t>Active</t>
  </si>
  <si>
    <t>Annual cashflow / emissions model</t>
  </si>
  <si>
    <t>Equivalent annual value ($/ha)</t>
  </si>
  <si>
    <t>Annual monitoring cost</t>
  </si>
  <si>
    <t>Income (all at time 0 → NOT discounted)</t>
  </si>
  <si>
    <t>Variable costs (years 1 → n)</t>
  </si>
  <si>
    <t>Fixed cost (time 0 → NOT discounted)</t>
  </si>
  <si>
    <t>Annual variable cost</t>
  </si>
  <si>
    <t>Annual fixed cost</t>
  </si>
  <si>
    <t>Income (perpetual)</t>
  </si>
  <si>
    <t>Biodiversity value</t>
  </si>
  <si>
    <t>Fixed set up cost ($/ha)</t>
  </si>
  <si>
    <t>Biomass</t>
  </si>
  <si>
    <t>LMU growth scalar - poor soil</t>
  </si>
  <si>
    <t>LMU growth scalar - good soil</t>
  </si>
  <si>
    <t>Discounted cost</t>
  </si>
  <si>
    <t>Discounted income</t>
  </si>
  <si>
    <t>Cost/ha</t>
  </si>
  <si>
    <t>Cost per tonne</t>
  </si>
  <si>
    <t>Income/ha</t>
  </si>
  <si>
    <t>Adjusted biomass/ha</t>
  </si>
  <si>
    <t>Biomass harvested_y</t>
  </si>
  <si>
    <t>Transport distance (km)</t>
  </si>
  <si>
    <t>Transport cost ($/t/km)</t>
  </si>
  <si>
    <t>Annual net biomass cashflow</t>
  </si>
  <si>
    <t>Biomass price ($/t)</t>
  </si>
  <si>
    <t>Annual biomass cost</t>
  </si>
  <si>
    <t>LMU growth scalar</t>
  </si>
  <si>
    <t>Annual biomass income</t>
  </si>
  <si>
    <t>CRF</t>
  </si>
  <si>
    <t>Harvested? (TRUE/FALSE)</t>
  </si>
  <si>
    <t>NPV biomass cost</t>
  </si>
  <si>
    <t>NPV biomass income</t>
  </si>
  <si>
    <t>Summary</t>
  </si>
  <si>
    <t>Contract costs ($/hr)</t>
  </si>
  <si>
    <t>Harvest rate (t/hr)</t>
  </si>
  <si>
    <t>Transport Distance</t>
  </si>
  <si>
    <t>km</t>
  </si>
  <si>
    <t>Benefit may be larger than estimated where current practises are resulting in erosion. Then benefits will occur in the future</t>
  </si>
  <si>
    <t>when production is not reduced.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</si>
</sst>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8" formatCode="&quot;$&quot;#,##0.00;[Red]\-&quot;$&quot;#,##0.00"/>
    <numFmt numFmtId="164" formatCode="0.0"/>
    <numFmt numFmtId="166" formatCode="0.000%"/>
    <numFmt numFmtId="167" formatCode="0.0000"/>
    <numFmt numFmtId="168" formatCode="0.000"/>
    <numFmt numFmtId="169" formatCode="\$#,##0.00"/>
  </numFmts>
  <fonts count="40">
    <font>
      <sz val="11"/>
      <color theme="1"/>
      <name val="Aptos Narrow"/>
      <family val="2"/>
      <scheme val="minor"/>
    </font>
    <font>
      <sz val="18"/>
      <color theme="3"/>
      <name val="Aptos Display"/>
      <family val="2"/>
      <scheme val="major"/>
    </font>
    <font>
      <b/>
      <sz val="13"/>
      <color theme="3"/>
      <name val="Aptos Narrow"/>
      <family val="2"/>
      <scheme val="minor"/>
    </font>
    <font>
      <sz val="11"/>
      <color theme="1"/>
      <name val="Aptos Narrow"/>
      <family val="2"/>
      <scheme val="minor"/>
    </font>
    <font>
      <sz val="11"/>
      <color theme="1"/>
      <name val="Calibri"/>
      <family val="2"/>
    </font>
    <font>
      <sz val="11"/>
      <color theme="1"/>
      <name val="Calibri"/>
      <family val="2"/>
    </font>
    <font>
      <sz val="9"/>
      <color indexed="81"/>
      <name val="Tahoma"/>
      <family val="2"/>
    </font>
    <font>
      <b/>
      <sz val="9"/>
      <color indexed="81"/>
      <name val="Tahoma"/>
      <family val="2"/>
    </font>
    <font>
      <b/>
      <sz val="11"/>
      <color theme="3"/>
      <name val="Aptos Narrow"/>
      <family val="2"/>
      <scheme val="minor"/>
    </font>
    <font>
      <sz val="11"/>
      <color rgb="FF3F3F76"/>
      <name val="Aptos Narrow"/>
      <family val="2"/>
      <scheme val="minor"/>
    </font>
    <font>
      <b/>
      <sz val="11"/>
      <color rgb="FFFA7D00"/>
      <name val="Aptos Narrow"/>
      <family val="2"/>
      <scheme val="minor"/>
    </font>
    <font>
      <i/>
      <sz val="11"/>
      <color rgb="FF7F7F7F"/>
      <name val="Aptos Narrow"/>
      <family val="2"/>
      <scheme val="minor"/>
    </font>
    <font>
      <b/>
      <sz val="11"/>
      <color theme="1"/>
      <name val="Aptos Narrow"/>
      <family val="2"/>
      <scheme val="minor"/>
    </font>
    <font>
      <sz val="11"/>
      <color rgb="FF000000"/>
      <name val="Aptos Narrow"/>
      <family val="2"/>
    </font>
    <font>
      <b/>
      <sz val="11"/>
      <name val="Aptos Narrow"/>
      <family val="2"/>
      <scheme val="minor"/>
    </font>
    <font>
      <sz val="11"/>
      <color theme="1"/>
      <name val="Aptos"/>
      <family val="2"/>
    </font>
    <font>
      <sz val="9"/>
      <color theme="1"/>
      <name val="Aptos"/>
      <family val="2"/>
    </font>
    <font>
      <i/>
      <sz val="10"/>
      <color rgb="FF7F7F7F"/>
      <name val="Aptos Narrow"/>
      <family val="2"/>
      <scheme val="minor"/>
    </font>
    <font>
      <sz val="9"/>
      <color theme="1"/>
      <name val="Aptos Narrow"/>
      <family val="2"/>
      <scheme val="minor"/>
    </font>
    <font>
      <b/>
      <sz val="15"/>
      <color theme="3"/>
      <name val="Aptos Narrow"/>
      <family val="2"/>
      <scheme val="minor"/>
    </font>
    <font>
      <u/>
      <sz val="11"/>
      <color theme="10"/>
      <name val="Aptos Narrow"/>
      <family val="2"/>
      <scheme val="minor"/>
    </font>
    <font>
      <sz val="11"/>
      <color rgb="FF0000CC"/>
      <name val="Aptos Narrow"/>
      <family val="2"/>
      <scheme val="minor"/>
    </font>
    <font>
      <b/>
      <i/>
      <sz val="11"/>
      <color rgb="FF7F7F7F"/>
      <name val="Aptos Narrow"/>
      <family val="2"/>
      <scheme val="minor"/>
    </font>
    <font>
      <b/>
      <i/>
      <sz val="11"/>
      <name val="Aptos Narrow"/>
      <family val="2"/>
      <scheme val="minor"/>
    </font>
    <font>
      <sz val="11"/>
      <color rgb="FF000000"/>
      <name val="Aptos Narrow"/>
      <family val="2"/>
      <scheme val="minor"/>
    </font>
    <font>
      <sz val="8"/>
      <color theme="1"/>
      <name val="Aptos"/>
      <family val="2"/>
    </font>
    <font>
      <sz val="18"/>
      <name val="Arial"/>
      <family val="2"/>
    </font>
    <font>
      <b/>
      <sz val="16"/>
      <color rgb="FF000000"/>
      <name val="Aptos"/>
      <family val="2"/>
    </font>
    <font>
      <sz val="16"/>
      <color rgb="FF000000"/>
      <name val="Aptos"/>
      <family val="2"/>
    </font>
    <font>
      <sz val="9"/>
      <color indexed="81"/>
      <name val="Tahoma"/>
      <charset val="1"/>
    </font>
    <font>
      <b/>
      <sz val="9"/>
      <color indexed="81"/>
      <name val="Tahoma"/>
      <charset val="1"/>
    </font>
    <font>
      <b/>
      <sz val="11"/>
      <color theme="0"/>
      <name val="Aptos Narrow"/>
      <family val="2"/>
      <scheme val="minor"/>
    </font>
    <font>
      <i/>
      <sz val="11"/>
      <color theme="1"/>
      <name val="Aptos Narrow"/>
      <family val="2"/>
      <scheme val="minor"/>
    </font>
    <font>
      <sz val="11"/>
      <color theme="2" tint="-0.499984740745262"/>
      <name val="Aptos Narrow"/>
      <family val="2"/>
      <scheme val="minor"/>
    </font>
    <font>
      <sz val="10"/>
      <color indexed="8"/>
      <name val="Times New Roman"/>
      <family val="1"/>
    </font>
    <font>
      <b/>
      <sz val="11"/>
      <color rgb="FF444444"/>
      <name val="Carlito"/>
    </font>
    <font>
      <b/>
      <sz val="11"/>
      <color rgb="FFFFFFFF"/>
      <name val="Carlito"/>
    </font>
    <font>
      <b/>
      <sz val="14"/>
      <color rgb="FFFFFFFF"/>
      <name val="Carlito"/>
    </font>
    <font>
      <b/>
      <sz val="11"/>
      <name val="Carlito"/>
    </font>
    <font>
      <b/>
      <sz val="11"/>
      <color rgb="FF1F1F1F"/>
      <name val="Carlito"/>
    </font>
  </fonts>
  <fills count="26">
    <fill>
      <patternFill patternType="none"/>
    </fill>
    <fill>
      <patternFill patternType="gray125"/>
    </fill>
    <fill>
      <patternFill patternType="solid">
        <fgColor rgb="FFFFCC99"/>
      </patternFill>
    </fill>
    <fill>
      <patternFill patternType="solid">
        <fgColor rgb="FFF2F2F2"/>
      </patternFill>
    </fill>
    <fill>
      <patternFill patternType="solid">
        <fgColor theme="0" tint="-4.9989318521683403E-2"/>
        <bgColor indexed="64"/>
      </patternFill>
    </fill>
    <fill>
      <patternFill patternType="solid">
        <fgColor theme="5" tint="0.39994506668294322"/>
        <bgColor indexed="64"/>
      </patternFill>
    </fill>
    <fill>
      <patternFill patternType="solid">
        <fgColor theme="2"/>
        <bgColor indexed="64"/>
      </patternFill>
    </fill>
    <fill>
      <patternFill patternType="solid">
        <fgColor rgb="FFFFC000"/>
        <bgColor indexed="64"/>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9D08E"/>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A5A5A5"/>
      </patternFill>
    </fill>
    <fill>
      <patternFill patternType="solid">
        <fgColor theme="5" tint="0.79998168889431442"/>
        <bgColor indexed="64"/>
      </patternFill>
    </fill>
    <fill>
      <patternFill patternType="solid">
        <fgColor indexed="15"/>
        <bgColor indexed="64"/>
      </patternFill>
    </fill>
    <fill>
      <patternFill patternType="solid">
        <fgColor rgb="FFFFFFFF"/>
      </patternFill>
    </fill>
    <fill>
      <patternFill patternType="solid">
        <fgColor rgb="FFF3F6F9"/>
      </patternFill>
    </fill>
    <fill>
      <patternFill patternType="solid">
        <fgColor rgb="FF5B9BD5"/>
      </patternFill>
    </fill>
    <fill>
      <patternFill patternType="solid">
        <fgColor rgb="FF1F4E78"/>
      </patternFill>
    </fill>
    <fill>
      <patternFill patternType="solid">
        <fgColor rgb="FFE2F0D9"/>
      </patternFill>
    </fill>
    <fill>
      <patternFill patternType="solid">
        <fgColor rgb="FFF3F6FA"/>
      </patternFill>
    </fill>
    <fill>
      <patternFill patternType="solid">
        <fgColor rgb="FFD9EAF7"/>
      </patternFill>
    </fill>
  </fills>
  <borders count="31">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top/>
      <bottom style="thin">
        <color indexed="64"/>
      </bottom>
      <diagonal/>
    </border>
    <border>
      <left/>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7F7F7F"/>
      </left>
      <right style="thin">
        <color indexed="64"/>
      </right>
      <top style="thin">
        <color rgb="FF7F7F7F"/>
      </top>
      <bottom style="thin">
        <color rgb="FF7F7F7F"/>
      </bottom>
      <diagonal/>
    </border>
    <border>
      <left style="thin">
        <color rgb="FF7F7F7F"/>
      </left>
      <right style="thin">
        <color indexed="64"/>
      </right>
      <top style="thin">
        <color rgb="FF7F7F7F"/>
      </top>
      <bottom style="thin">
        <color indexed="64"/>
      </bottom>
      <diagonal/>
    </border>
    <border>
      <left style="hair">
        <color indexed="64"/>
      </left>
      <right style="hair">
        <color indexed="64"/>
      </right>
      <top style="hair">
        <color indexed="64"/>
      </top>
      <bottom style="hair">
        <color indexed="64"/>
      </bottom>
      <diagonal/>
    </border>
    <border>
      <left style="thin">
        <color rgb="FFD0D7DE"/>
      </left>
      <right/>
      <top/>
      <bottom style="thin">
        <color rgb="FFD0D7DE"/>
      </bottom>
      <diagonal/>
    </border>
    <border>
      <left/>
      <right style="thin">
        <color rgb="FFD0D7DE"/>
      </right>
      <top/>
      <bottom/>
      <diagonal/>
    </border>
    <border>
      <left style="thin">
        <color rgb="FFD0D7DE"/>
      </left>
      <right/>
      <top/>
      <bottom/>
      <diagonal/>
    </border>
    <border>
      <left/>
      <right style="thin">
        <color rgb="FFD0D7DE"/>
      </right>
      <top style="thin">
        <color rgb="FFD0D7DE"/>
      </top>
      <bottom/>
      <diagonal/>
    </border>
    <border>
      <left style="thin">
        <color rgb="FFD0D7DE"/>
      </left>
      <right/>
      <top style="thin">
        <color rgb="FFD0D7DE"/>
      </top>
      <bottom/>
      <diagonal/>
    </border>
  </borders>
  <cellStyleXfs count="17">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0"/>
    <xf numFmtId="0" fontId="8" fillId="0" borderId="2" applyNumberFormat="0" applyFill="0" applyAlignment="0" applyProtection="0"/>
    <xf numFmtId="0" fontId="9" fillId="2" borderId="3" applyNumberFormat="0" applyAlignment="0">
      <protection locked="0"/>
    </xf>
    <xf numFmtId="0" fontId="10" fillId="3" borderId="3" applyNumberFormat="0" applyAlignment="0" applyProtection="0"/>
    <xf numFmtId="0" fontId="11" fillId="0" borderId="0" applyNumberFormat="0" applyFill="0" applyBorder="0" applyAlignment="0" applyProtection="0"/>
    <xf numFmtId="0" fontId="3" fillId="5" borderId="0" applyNumberFormat="0" applyFont="0" applyAlignment="0"/>
    <xf numFmtId="0" fontId="19" fillId="0" borderId="4" applyNumberFormat="0" applyFill="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20" fillId="0" borderId="0" applyNumberFormat="0" applyFill="0" applyBorder="0" applyAlignment="0" applyProtection="0"/>
    <xf numFmtId="0" fontId="21" fillId="11" borderId="5" applyNumberFormat="0" applyFont="0" applyBorder="0" applyAlignment="0"/>
    <xf numFmtId="9" fontId="3" fillId="0" borderId="0" applyFont="0" applyFill="0" applyBorder="0" applyAlignment="0" applyProtection="0"/>
    <xf numFmtId="0" fontId="31" fillId="16" borderId="8" applyNumberFormat="0" applyAlignment="0" applyProtection="0"/>
  </cellStyleXfs>
  <cellXfs count="182">
    <xf numFmtId="0" fontId="0" fillId="0" borderId="0" xfId="0"/>
    <xf numFmtId="0" fontId="0" fillId="0" borderId="0" xfId="0" applyAlignment="1">
      <alignment horizontal="left" indent="1"/>
    </xf>
    <xf numFmtId="0" fontId="0" fillId="0" borderId="0" xfId="0" applyAlignment="1">
      <alignment wrapText="1"/>
    </xf>
    <xf numFmtId="0" fontId="0" fillId="4" borderId="0" xfId="0" applyFill="1"/>
    <xf numFmtId="0" fontId="0" fillId="5" borderId="0" xfId="8" applyFont="1"/>
    <xf numFmtId="0" fontId="0" fillId="6" borderId="0" xfId="8" applyFont="1" applyFill="1"/>
    <xf numFmtId="0" fontId="11" fillId="0" borderId="0" xfId="7" applyAlignment="1">
      <alignment horizontal="left" wrapText="1"/>
    </xf>
    <xf numFmtId="0" fontId="0" fillId="7" borderId="0" xfId="8" applyFont="1" applyFill="1"/>
    <xf numFmtId="0" fontId="0" fillId="5" borderId="0" xfId="8" applyFont="1" applyAlignment="1"/>
    <xf numFmtId="0" fontId="0" fillId="6" borderId="0" xfId="8" applyFont="1" applyFill="1" applyAlignment="1"/>
    <xf numFmtId="0" fontId="2" fillId="0" borderId="0" xfId="2" applyBorder="1" applyAlignment="1"/>
    <xf numFmtId="0" fontId="4" fillId="0" borderId="0" xfId="3" applyFont="1"/>
    <xf numFmtId="0" fontId="4" fillId="0" borderId="0" xfId="3" applyFont="1" applyAlignment="1">
      <alignment horizontal="left"/>
    </xf>
    <xf numFmtId="0" fontId="0" fillId="0" borderId="0" xfId="0" applyAlignment="1">
      <alignment horizontal="left"/>
    </xf>
    <xf numFmtId="0" fontId="8" fillId="4" borderId="0" xfId="4" applyFill="1" applyBorder="1" applyAlignment="1"/>
    <xf numFmtId="0" fontId="12" fillId="7" borderId="0" xfId="8" applyFont="1" applyFill="1" applyAlignment="1"/>
    <xf numFmtId="0" fontId="11" fillId="0" borderId="0" xfId="7" applyAlignment="1">
      <alignment wrapText="1"/>
    </xf>
    <xf numFmtId="0" fontId="8" fillId="4" borderId="0" xfId="2" applyFont="1" applyFill="1" applyBorder="1" applyAlignment="1"/>
    <xf numFmtId="0" fontId="11" fillId="0" borderId="0" xfId="7" applyAlignment="1"/>
    <xf numFmtId="0" fontId="12" fillId="0" borderId="0" xfId="0" applyFont="1" applyAlignment="1">
      <alignment wrapText="1"/>
    </xf>
    <xf numFmtId="0" fontId="9" fillId="2" borderId="3" xfId="5">
      <protection locked="0"/>
    </xf>
    <xf numFmtId="0" fontId="10" fillId="3" borderId="3" xfId="6"/>
    <xf numFmtId="0" fontId="13" fillId="0" borderId="0" xfId="0" applyFont="1" applyAlignment="1">
      <alignment vertical="center"/>
    </xf>
    <xf numFmtId="0" fontId="12" fillId="0" borderId="0" xfId="0" applyFont="1"/>
    <xf numFmtId="0" fontId="14" fillId="0" borderId="0" xfId="7" applyFont="1" applyAlignment="1"/>
    <xf numFmtId="0" fontId="0" fillId="0" borderId="0" xfId="0" quotePrefix="1"/>
    <xf numFmtId="0" fontId="13" fillId="0" borderId="0" xfId="0" quotePrefix="1" applyFont="1" applyAlignment="1">
      <alignment vertical="center"/>
    </xf>
    <xf numFmtId="0" fontId="16" fillId="0" borderId="0" xfId="0" applyFont="1" applyAlignment="1">
      <alignment vertical="center"/>
    </xf>
    <xf numFmtId="0" fontId="16" fillId="0" borderId="0" xfId="0" applyFont="1" applyAlignment="1">
      <alignment horizontal="left" vertical="center" indent="1"/>
    </xf>
    <xf numFmtId="0" fontId="17" fillId="0" borderId="0" xfId="7" applyFont="1" applyAlignment="1"/>
    <xf numFmtId="0" fontId="16" fillId="0" borderId="0" xfId="0" applyFont="1" applyAlignment="1">
      <alignment horizontal="left" vertical="center"/>
    </xf>
    <xf numFmtId="0" fontId="15" fillId="0" borderId="0" xfId="0" applyFont="1"/>
    <xf numFmtId="0" fontId="16" fillId="0" borderId="0" xfId="0" applyFont="1" applyAlignment="1">
      <alignment horizontal="left" indent="1"/>
    </xf>
    <xf numFmtId="0" fontId="18" fillId="0" borderId="0" xfId="0" applyFont="1" applyAlignment="1">
      <alignment horizontal="left"/>
    </xf>
    <xf numFmtId="0" fontId="16" fillId="0" borderId="0" xfId="0" applyFont="1"/>
    <xf numFmtId="0" fontId="18" fillId="0" borderId="0" xfId="0" applyFont="1"/>
    <xf numFmtId="10" fontId="0" fillId="0" borderId="0" xfId="0" applyNumberFormat="1"/>
    <xf numFmtId="0" fontId="0" fillId="0" borderId="0" xfId="0" applyAlignment="1">
      <alignment horizontal="center"/>
    </xf>
    <xf numFmtId="0" fontId="20" fillId="0" borderId="0" xfId="13" applyAlignment="1">
      <alignment horizontal="left" wrapText="1"/>
    </xf>
    <xf numFmtId="0" fontId="19" fillId="0" borderId="4" xfId="9"/>
    <xf numFmtId="164" fontId="0" fillId="0" borderId="0" xfId="0" applyNumberFormat="1"/>
    <xf numFmtId="0" fontId="3" fillId="9" borderId="0" xfId="11"/>
    <xf numFmtId="0" fontId="3" fillId="10" borderId="0" xfId="12"/>
    <xf numFmtId="0" fontId="9" fillId="2" borderId="3" xfId="5" applyAlignment="1">
      <alignment horizontal="left"/>
      <protection locked="0"/>
    </xf>
    <xf numFmtId="0" fontId="3" fillId="12" borderId="0" xfId="11" applyFill="1"/>
    <xf numFmtId="166" fontId="0" fillId="0" borderId="0" xfId="15" applyNumberFormat="1" applyFont="1"/>
    <xf numFmtId="0" fontId="0" fillId="13" borderId="0" xfId="0" applyFill="1"/>
    <xf numFmtId="2" fontId="0" fillId="13" borderId="0" xfId="0" applyNumberFormat="1" applyFill="1"/>
    <xf numFmtId="2" fontId="3" fillId="12" borderId="0" xfId="11" applyNumberFormat="1" applyFill="1"/>
    <xf numFmtId="1" fontId="10" fillId="3" borderId="3" xfId="6" applyNumberFormat="1"/>
    <xf numFmtId="0" fontId="22" fillId="0" borderId="0" xfId="7" applyFont="1" applyAlignment="1"/>
    <xf numFmtId="0" fontId="15" fillId="0" borderId="0" xfId="0" applyFont="1" applyAlignment="1">
      <alignment vertical="center" wrapText="1"/>
    </xf>
    <xf numFmtId="0" fontId="23" fillId="0" borderId="0" xfId="7" applyFont="1" applyAlignment="1"/>
    <xf numFmtId="0" fontId="15" fillId="0" borderId="0" xfId="0" applyFont="1" applyAlignment="1">
      <alignment vertical="top" wrapText="1"/>
    </xf>
    <xf numFmtId="0" fontId="15" fillId="0" borderId="6" xfId="0" applyFont="1" applyBorder="1" applyAlignment="1">
      <alignment vertical="center" wrapText="1"/>
    </xf>
    <xf numFmtId="0" fontId="15" fillId="0" borderId="7" xfId="0" applyFont="1" applyBorder="1" applyAlignment="1">
      <alignment vertical="center" wrapText="1"/>
    </xf>
    <xf numFmtId="0" fontId="15" fillId="0" borderId="7" xfId="0" applyFont="1" applyBorder="1" applyAlignment="1">
      <alignment vertical="center"/>
    </xf>
    <xf numFmtId="0" fontId="15" fillId="0" borderId="6" xfId="0" applyFont="1" applyBorder="1" applyAlignment="1">
      <alignment vertical="center"/>
    </xf>
    <xf numFmtId="0" fontId="0" fillId="0" borderId="7" xfId="0" applyBorder="1"/>
    <xf numFmtId="0" fontId="0" fillId="0" borderId="7" xfId="0" applyBorder="1" applyAlignment="1">
      <alignment vertical="center" wrapText="1"/>
    </xf>
    <xf numFmtId="0" fontId="0" fillId="0" borderId="6" xfId="0" applyBorder="1" applyAlignment="1">
      <alignment vertical="center"/>
    </xf>
    <xf numFmtId="0" fontId="0" fillId="0" borderId="6" xfId="0" applyBorder="1"/>
    <xf numFmtId="0" fontId="15" fillId="0" borderId="6" xfId="0" applyFont="1" applyBorder="1" applyAlignment="1">
      <alignment horizontal="center" vertical="center" wrapText="1"/>
    </xf>
    <xf numFmtId="0" fontId="15" fillId="0" borderId="0" xfId="0" applyFont="1" applyAlignment="1">
      <alignment vertical="center"/>
    </xf>
    <xf numFmtId="0" fontId="24" fillId="0" borderId="0" xfId="0" applyFont="1"/>
    <xf numFmtId="1" fontId="0" fillId="0" borderId="0" xfId="0" applyNumberFormat="1"/>
    <xf numFmtId="0" fontId="25" fillId="0" borderId="0" xfId="0" applyFont="1" applyAlignment="1">
      <alignment vertical="center"/>
    </xf>
    <xf numFmtId="0" fontId="0" fillId="14" borderId="0" xfId="0" applyFill="1"/>
    <xf numFmtId="0" fontId="0" fillId="15" borderId="0" xfId="0" applyFill="1"/>
    <xf numFmtId="0" fontId="1" fillId="15" borderId="0" xfId="1" applyFill="1" applyBorder="1" applyAlignment="1">
      <alignment horizontal="center"/>
    </xf>
    <xf numFmtId="0" fontId="5" fillId="15" borderId="0" xfId="3" applyFont="1" applyFill="1" applyAlignment="1">
      <alignment horizontal="center" wrapText="1"/>
    </xf>
    <xf numFmtId="8" fontId="11" fillId="0" borderId="0" xfId="7" applyNumberFormat="1" applyAlignment="1">
      <alignment wrapText="1"/>
    </xf>
    <xf numFmtId="0" fontId="11" fillId="0" borderId="0" xfId="7" applyAlignment="1">
      <alignment horizontal="left"/>
    </xf>
    <xf numFmtId="0" fontId="23" fillId="0" borderId="0" xfId="7" applyFont="1" applyBorder="1" applyAlignment="1"/>
    <xf numFmtId="0" fontId="11" fillId="0" borderId="0" xfId="7" applyBorder="1" applyAlignment="1">
      <alignment wrapText="1"/>
    </xf>
    <xf numFmtId="0" fontId="22" fillId="0" borderId="0" xfId="7" applyFont="1" applyBorder="1" applyAlignment="1"/>
    <xf numFmtId="0" fontId="11" fillId="0" borderId="0" xfId="7" applyBorder="1" applyAlignment="1"/>
    <xf numFmtId="8" fontId="15" fillId="0" borderId="0" xfId="0" applyNumberFormat="1" applyFont="1" applyAlignment="1">
      <alignment vertical="center" wrapText="1"/>
    </xf>
    <xf numFmtId="0" fontId="26" fillId="0" borderId="0" xfId="0" applyFont="1" applyAlignment="1">
      <alignment vertical="center" wrapText="1"/>
    </xf>
    <xf numFmtId="0" fontId="27" fillId="0" borderId="0" xfId="0" applyFont="1" applyAlignment="1">
      <alignment horizontal="left" vertical="center" wrapText="1" readingOrder="1"/>
    </xf>
    <xf numFmtId="6" fontId="28" fillId="0" borderId="0" xfId="0" applyNumberFormat="1" applyFont="1" applyAlignment="1">
      <alignment horizontal="left" vertical="center" wrapText="1" readingOrder="1"/>
    </xf>
    <xf numFmtId="0" fontId="28" fillId="0" borderId="0" xfId="0" applyFont="1" applyAlignment="1">
      <alignment horizontal="left" vertical="center" wrapText="1" readingOrder="1"/>
    </xf>
    <xf numFmtId="8" fontId="9" fillId="2" borderId="3" xfId="5" applyNumberFormat="1" applyAlignment="1">
      <alignment vertical="center" wrapText="1"/>
      <protection locked="0"/>
    </xf>
    <xf numFmtId="9" fontId="9" fillId="2" borderId="3" xfId="5" applyNumberFormat="1" applyAlignment="1">
      <alignment vertical="center" wrapText="1"/>
      <protection locked="0"/>
    </xf>
    <xf numFmtId="3" fontId="9" fillId="2" borderId="3" xfId="5" applyNumberFormat="1" applyAlignment="1">
      <alignment vertical="center" wrapText="1"/>
      <protection locked="0"/>
    </xf>
    <xf numFmtId="6" fontId="9" fillId="2" borderId="3" xfId="5" applyNumberFormat="1" applyAlignment="1">
      <alignment vertical="center" wrapText="1"/>
      <protection locked="0"/>
    </xf>
    <xf numFmtId="0" fontId="9" fillId="2" borderId="3" xfId="5" applyAlignment="1">
      <alignment vertical="center" wrapText="1"/>
      <protection locked="0"/>
    </xf>
    <xf numFmtId="8" fontId="9" fillId="2" borderId="9" xfId="5" applyNumberFormat="1" applyBorder="1" applyAlignment="1">
      <alignment vertical="center" wrapText="1"/>
      <protection locked="0"/>
    </xf>
    <xf numFmtId="0" fontId="9" fillId="2" borderId="3" xfId="5" applyAlignment="1">
      <alignment horizontal="center" vertical="center"/>
      <protection locked="0"/>
    </xf>
    <xf numFmtId="9" fontId="9" fillId="2" borderId="10" xfId="5" applyNumberFormat="1" applyBorder="1" applyAlignment="1">
      <alignment vertical="center"/>
      <protection locked="0"/>
    </xf>
    <xf numFmtId="0" fontId="9" fillId="2" borderId="3" xfId="5" applyAlignment="1">
      <alignment vertical="center"/>
      <protection locked="0"/>
    </xf>
    <xf numFmtId="164" fontId="9" fillId="2" borderId="3" xfId="5" applyNumberFormat="1" applyAlignment="1">
      <alignment horizontal="center" vertical="center"/>
      <protection locked="0"/>
    </xf>
    <xf numFmtId="0" fontId="11" fillId="0" borderId="11" xfId="7" applyBorder="1" applyAlignment="1">
      <alignment wrapText="1"/>
    </xf>
    <xf numFmtId="0" fontId="11" fillId="0" borderId="7" xfId="7" applyBorder="1" applyAlignment="1">
      <alignment wrapText="1"/>
    </xf>
    <xf numFmtId="0" fontId="11" fillId="0" borderId="12" xfId="7" applyBorder="1" applyAlignment="1">
      <alignment wrapText="1"/>
    </xf>
    <xf numFmtId="168" fontId="11" fillId="0" borderId="12" xfId="7" applyNumberFormat="1" applyBorder="1" applyAlignment="1">
      <alignment wrapText="1"/>
    </xf>
    <xf numFmtId="0" fontId="11" fillId="0" borderId="13" xfId="7" applyBorder="1" applyAlignment="1">
      <alignment horizontal="right" wrapText="1"/>
    </xf>
    <xf numFmtId="0" fontId="11" fillId="0" borderId="14" xfId="7" applyBorder="1" applyAlignment="1">
      <alignment horizontal="right" wrapText="1"/>
    </xf>
    <xf numFmtId="0" fontId="11" fillId="0" borderId="14" xfId="7" applyNumberFormat="1" applyBorder="1" applyAlignment="1">
      <alignment horizontal="right" wrapText="1"/>
    </xf>
    <xf numFmtId="0" fontId="33" fillId="0" borderId="14" xfId="0" applyFont="1" applyBorder="1" applyAlignment="1">
      <alignment horizontal="right"/>
    </xf>
    <xf numFmtId="0" fontId="11" fillId="0" borderId="15" xfId="7" applyBorder="1" applyAlignment="1">
      <alignment horizontal="right" wrapText="1"/>
    </xf>
    <xf numFmtId="0" fontId="22" fillId="0" borderId="0" xfId="7" applyFont="1" applyAlignment="1">
      <alignment horizontal="right" wrapText="1"/>
    </xf>
    <xf numFmtId="0" fontId="15" fillId="0" borderId="16" xfId="0" applyFont="1" applyBorder="1" applyAlignment="1">
      <alignment vertical="center"/>
    </xf>
    <xf numFmtId="0" fontId="15" fillId="0" borderId="17" xfId="0" applyFont="1" applyBorder="1" applyAlignment="1">
      <alignment vertical="center"/>
    </xf>
    <xf numFmtId="8" fontId="0" fillId="0" borderId="18" xfId="0" applyNumberFormat="1" applyBorder="1"/>
    <xf numFmtId="0" fontId="15" fillId="0" borderId="19" xfId="0" applyFont="1" applyBorder="1" applyAlignment="1">
      <alignment vertical="top"/>
    </xf>
    <xf numFmtId="8" fontId="0" fillId="0" borderId="20" xfId="0" applyNumberFormat="1" applyBorder="1"/>
    <xf numFmtId="0" fontId="15" fillId="0" borderId="19" xfId="0" applyFont="1" applyBorder="1" applyAlignment="1">
      <alignment vertical="center"/>
    </xf>
    <xf numFmtId="0" fontId="15" fillId="0" borderId="21" xfId="0" applyFont="1" applyBorder="1" applyAlignment="1">
      <alignment vertical="center"/>
    </xf>
    <xf numFmtId="8" fontId="0" fillId="0" borderId="22" xfId="0" applyNumberFormat="1" applyBorder="1"/>
    <xf numFmtId="0" fontId="0" fillId="0" borderId="16" xfId="0" applyBorder="1"/>
    <xf numFmtId="0" fontId="0" fillId="0" borderId="17" xfId="0" applyBorder="1"/>
    <xf numFmtId="0" fontId="0" fillId="0" borderId="18" xfId="0" applyBorder="1"/>
    <xf numFmtId="0" fontId="0" fillId="0" borderId="19" xfId="0" applyBorder="1" applyAlignment="1">
      <alignment wrapText="1"/>
    </xf>
    <xf numFmtId="0" fontId="0" fillId="0" borderId="20" xfId="0" applyBorder="1"/>
    <xf numFmtId="0" fontId="0" fillId="0" borderId="19" xfId="0" applyBorder="1"/>
    <xf numFmtId="0" fontId="0" fillId="0" borderId="21" xfId="0" applyBorder="1"/>
    <xf numFmtId="0" fontId="0" fillId="0" borderId="22" xfId="0" applyBorder="1"/>
    <xf numFmtId="9" fontId="0" fillId="0" borderId="20" xfId="15" applyFont="1" applyBorder="1"/>
    <xf numFmtId="167" fontId="0" fillId="0" borderId="0" xfId="0" applyNumberFormat="1"/>
    <xf numFmtId="8" fontId="10" fillId="3" borderId="23" xfId="6" applyNumberFormat="1" applyBorder="1"/>
    <xf numFmtId="168" fontId="10" fillId="3" borderId="24" xfId="6" applyNumberFormat="1" applyBorder="1"/>
    <xf numFmtId="0" fontId="0" fillId="8" borderId="0" xfId="10" applyFont="1"/>
    <xf numFmtId="2" fontId="3" fillId="10" borderId="0" xfId="12" applyNumberFormat="1"/>
    <xf numFmtId="164" fontId="3" fillId="10" borderId="0" xfId="12" applyNumberFormat="1"/>
    <xf numFmtId="1" fontId="3" fillId="10" borderId="0" xfId="12" applyNumberFormat="1"/>
    <xf numFmtId="0" fontId="34" fillId="0" borderId="0" xfId="0" applyFont="1"/>
    <xf numFmtId="2" fontId="0" fillId="17" borderId="0" xfId="0" applyNumberFormat="1" applyFill="1" applyAlignment="1">
      <alignment wrapText="1"/>
    </xf>
    <xf numFmtId="2" fontId="34" fillId="18" borderId="25" xfId="0" applyNumberFormat="1" applyFont="1" applyFill="1" applyBorder="1" applyAlignment="1">
      <alignment horizontal="center"/>
    </xf>
    <xf numFmtId="0" fontId="35" fillId="20" borderId="26" xfId="0" applyFont="1" applyFill="1" applyBorder="1" applyAlignment="1">
      <alignment vertical="center"/>
    </xf>
    <xf numFmtId="167" fontId="0" fillId="19" borderId="27" xfId="0" applyNumberFormat="1" applyFill="1" applyBorder="1" applyAlignment="1">
      <alignment vertical="center"/>
    </xf>
    <xf numFmtId="0" fontId="35" fillId="20" borderId="28" xfId="0" applyFont="1" applyFill="1" applyBorder="1" applyAlignment="1">
      <alignment vertical="center"/>
    </xf>
    <xf numFmtId="169" fontId="0" fillId="19" borderId="27" xfId="0" applyNumberFormat="1" applyFill="1" applyBorder="1" applyAlignment="1">
      <alignment vertical="center"/>
    </xf>
    <xf numFmtId="168" fontId="0" fillId="19" borderId="27" xfId="0" applyNumberFormat="1" applyFill="1" applyBorder="1" applyAlignment="1">
      <alignment vertical="center"/>
    </xf>
    <xf numFmtId="10" fontId="0" fillId="19" borderId="27" xfId="0" applyNumberFormat="1" applyFill="1" applyBorder="1" applyAlignment="1">
      <alignment vertical="center"/>
    </xf>
    <xf numFmtId="0" fontId="0" fillId="19" borderId="27" xfId="0" applyFill="1" applyBorder="1" applyAlignment="1">
      <alignment vertical="center"/>
    </xf>
    <xf numFmtId="1" fontId="0" fillId="19" borderId="29" xfId="0" applyNumberFormat="1" applyFill="1" applyBorder="1" applyAlignment="1">
      <alignment vertical="center"/>
    </xf>
    <xf numFmtId="0" fontId="35" fillId="20" borderId="30" xfId="0" applyFont="1" applyFill="1" applyBorder="1" applyAlignment="1">
      <alignment vertical="center"/>
    </xf>
    <xf numFmtId="1" fontId="10" fillId="3" borderId="3" xfId="6" applyNumberFormat="1" applyAlignment="1">
      <alignment vertical="center"/>
    </xf>
    <xf numFmtId="169" fontId="10" fillId="3" borderId="3" xfId="6" applyNumberFormat="1" applyAlignment="1">
      <alignment vertical="center"/>
    </xf>
    <xf numFmtId="167" fontId="10" fillId="3" borderId="3" xfId="6" applyNumberFormat="1" applyAlignment="1">
      <alignment vertical="center"/>
    </xf>
    <xf numFmtId="10" fontId="10" fillId="3" borderId="3" xfId="6" applyNumberFormat="1" applyAlignment="1">
      <alignment vertical="center"/>
    </xf>
    <xf numFmtId="0" fontId="36" fillId="21" borderId="0" xfId="0" applyFont="1" applyFill="1" applyAlignment="1">
      <alignment horizontal="center" vertical="center" wrapText="1"/>
    </xf>
    <xf numFmtId="0" fontId="36" fillId="21" borderId="19" xfId="0" applyFont="1" applyFill="1" applyBorder="1" applyAlignment="1">
      <alignment horizontal="center" vertical="center" wrapText="1"/>
    </xf>
    <xf numFmtId="0" fontId="36" fillId="21" borderId="20" xfId="0" applyFont="1" applyFill="1" applyBorder="1" applyAlignment="1">
      <alignment horizontal="center" vertical="center" wrapText="1"/>
    </xf>
    <xf numFmtId="1" fontId="0" fillId="0" borderId="19" xfId="0" applyNumberFormat="1" applyBorder="1" applyAlignment="1">
      <alignment vertical="center" wrapText="1"/>
    </xf>
    <xf numFmtId="1" fontId="0" fillId="0" borderId="0" xfId="0" applyNumberFormat="1" applyAlignment="1">
      <alignment vertical="center" wrapText="1"/>
    </xf>
    <xf numFmtId="2" fontId="0" fillId="0" borderId="0" xfId="0" applyNumberFormat="1" applyAlignment="1">
      <alignment vertical="center" wrapText="1"/>
    </xf>
    <xf numFmtId="169" fontId="0" fillId="0" borderId="0" xfId="0" applyNumberFormat="1" applyAlignment="1">
      <alignment vertical="center" wrapText="1"/>
    </xf>
    <xf numFmtId="167" fontId="0" fillId="0" borderId="0" xfId="0" applyNumberFormat="1" applyAlignment="1">
      <alignment vertical="center" wrapText="1"/>
    </xf>
    <xf numFmtId="0" fontId="0" fillId="0" borderId="20" xfId="0" applyBorder="1" applyAlignment="1">
      <alignment vertical="center" wrapText="1"/>
    </xf>
    <xf numFmtId="1" fontId="0" fillId="0" borderId="21" xfId="0" applyNumberFormat="1" applyBorder="1" applyAlignment="1">
      <alignment vertical="center" wrapText="1"/>
    </xf>
    <xf numFmtId="1" fontId="0" fillId="0" borderId="6" xfId="0" applyNumberFormat="1" applyBorder="1" applyAlignment="1">
      <alignment vertical="center" wrapText="1"/>
    </xf>
    <xf numFmtId="2" fontId="0" fillId="0" borderId="6" xfId="0" applyNumberFormat="1" applyBorder="1" applyAlignment="1">
      <alignment vertical="center" wrapText="1"/>
    </xf>
    <xf numFmtId="169" fontId="0" fillId="0" borderId="6" xfId="0" applyNumberFormat="1" applyBorder="1" applyAlignment="1">
      <alignment vertical="center" wrapText="1"/>
    </xf>
    <xf numFmtId="167" fontId="0" fillId="0" borderId="6" xfId="0" applyNumberFormat="1" applyBorder="1" applyAlignment="1">
      <alignment vertical="center" wrapText="1"/>
    </xf>
    <xf numFmtId="0" fontId="0" fillId="0" borderId="22" xfId="0" applyBorder="1" applyAlignment="1">
      <alignment vertical="center" wrapText="1"/>
    </xf>
    <xf numFmtId="2" fontId="10" fillId="3" borderId="3" xfId="6" applyNumberFormat="1"/>
    <xf numFmtId="164" fontId="10" fillId="3" borderId="3" xfId="6" applyNumberFormat="1" applyAlignment="1">
      <alignment horizontal="center"/>
    </xf>
    <xf numFmtId="2" fontId="31" fillId="16" borderId="8" xfId="16" applyNumberFormat="1"/>
    <xf numFmtId="168" fontId="10" fillId="3" borderId="3" xfId="6" applyNumberFormat="1" applyAlignment="1">
      <alignment vertical="center"/>
    </xf>
    <xf numFmtId="0" fontId="38" fillId="23" borderId="28" xfId="0" applyFont="1" applyFill="1" applyBorder="1" applyAlignment="1">
      <alignment vertical="center"/>
    </xf>
    <xf numFmtId="6" fontId="0" fillId="0" borderId="20" xfId="0" applyNumberFormat="1" applyBorder="1"/>
    <xf numFmtId="0" fontId="10" fillId="3" borderId="23" xfId="6" applyBorder="1"/>
    <xf numFmtId="6" fontId="10" fillId="3" borderId="23" xfId="6" applyNumberFormat="1" applyBorder="1"/>
    <xf numFmtId="0" fontId="10" fillId="3" borderId="24" xfId="6" applyBorder="1"/>
    <xf numFmtId="169" fontId="0" fillId="0" borderId="0" xfId="0" applyNumberFormat="1"/>
    <xf numFmtId="2" fontId="0" fillId="0" borderId="0" xfId="0" applyNumberFormat="1"/>
    <xf numFmtId="169" fontId="0" fillId="23" borderId="0" xfId="0" applyNumberFormat="1" applyFill="1"/>
    <xf numFmtId="0" fontId="38" fillId="24" borderId="0" xfId="0" applyFont="1" applyFill="1" applyAlignment="1">
      <alignment wrapText="1"/>
    </xf>
    <xf numFmtId="169" fontId="10" fillId="3" borderId="3" xfId="6" applyNumberFormat="1"/>
    <xf numFmtId="0" fontId="10" fillId="3" borderId="3" xfId="6" applyNumberFormat="1"/>
    <xf numFmtId="2" fontId="10" fillId="3" borderId="3" xfId="6" applyNumberFormat="1" applyAlignment="1">
      <alignment vertical="center" wrapText="1"/>
    </xf>
    <xf numFmtId="0" fontId="10" fillId="3" borderId="3" xfId="6">
      <extLst>
        <ext xmlns:xfpb="http://schemas.microsoft.com/office/spreadsheetml/2022/featurepropertybag" uri="{C7286773-470A-42A8-94C5-96B5CB345126}">
          <xfpb:xfComplement i="0"/>
        </ext>
      </extLst>
    </xf>
    <xf numFmtId="0" fontId="1" fillId="15" borderId="0" xfId="1" applyFill="1" applyBorder="1" applyAlignment="1">
      <alignment horizontal="center"/>
    </xf>
    <xf numFmtId="0" fontId="5" fillId="15" borderId="0" xfId="3" applyFont="1" applyFill="1" applyAlignment="1">
      <alignment horizontal="center" wrapText="1"/>
    </xf>
    <xf numFmtId="0" fontId="15" fillId="0" borderId="0" xfId="0" applyFont="1" applyAlignment="1">
      <alignment horizontal="center" vertical="center" wrapText="1"/>
    </xf>
    <xf numFmtId="0" fontId="0" fillId="0" borderId="0" xfId="0" applyAlignment="1">
      <alignment horizontal="center"/>
    </xf>
    <xf numFmtId="0" fontId="37" fillId="22" borderId="16" xfId="0" applyFont="1" applyFill="1" applyBorder="1" applyAlignment="1">
      <alignment horizontal="center" vertical="center"/>
    </xf>
    <xf numFmtId="0" fontId="37" fillId="22" borderId="17" xfId="0" applyFont="1" applyFill="1" applyBorder="1" applyAlignment="1">
      <alignment horizontal="center" vertical="center"/>
    </xf>
    <xf numFmtId="0" fontId="37" fillId="22" borderId="18" xfId="0" applyFont="1" applyFill="1" applyBorder="1" applyAlignment="1">
      <alignment horizontal="center" vertical="center"/>
    </xf>
    <xf numFmtId="0" fontId="39" fillId="25" borderId="0" xfId="0" applyFont="1" applyFill="1" applyAlignment="1">
      <alignment horizontal="center" vertical="center"/>
    </xf>
  </cellXfs>
  <cellStyles count="17">
    <cellStyle name="20% - Accent6" xfId="10" builtinId="50"/>
    <cellStyle name="40% - Accent6" xfId="11" builtinId="51"/>
    <cellStyle name="60% - Accent6" xfId="12" builtinId="52"/>
    <cellStyle name="Background" xfId="8" xr:uid="{728C7E0A-1DAA-4021-8E41-9A14C7F351F8}"/>
    <cellStyle name="Calc05" xfId="14" xr:uid="{EF3C10D5-B048-4F2C-8162-E88B388818E1}"/>
    <cellStyle name="Calculation" xfId="6" builtinId="22"/>
    <cellStyle name="Check Cell" xfId="16" builtinId="23"/>
    <cellStyle name="Explanatory Text" xfId="7" builtinId="53"/>
    <cellStyle name="Heading 1" xfId="9" builtinId="16"/>
    <cellStyle name="Heading 2" xfId="2" builtinId="17"/>
    <cellStyle name="Heading 3" xfId="4" builtinId="18"/>
    <cellStyle name="Hyperlink" xfId="13" builtinId="8"/>
    <cellStyle name="Input" xfId="5" builtinId="20" customBuiltin="1"/>
    <cellStyle name="Normal" xfId="0" builtinId="0"/>
    <cellStyle name="Normal 2" xfId="3" xr:uid="{D4F1D80D-379B-4316-8082-4D16D336A93D}"/>
    <cellStyle name="Percent" xfId="15" builtinId="5"/>
    <cellStyle name="Title" xfId="1" builtinId="15"/>
  </cellStyles>
  <dxfs count="1">
    <dxf>
      <font>
        <color rgb="FF999999"/>
      </font>
      <fill>
        <patternFill patternType="solid">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22/10/relationships/richValueRel" Target="richData/richValueRel.xml"/><Relationship Id="rId5" Type="http://schemas.openxmlformats.org/officeDocument/2006/relationships/externalLink" Target="externalLinks/externalLink1.xml"/><Relationship Id="rId15" Type="http://schemas.microsoft.com/office/2022/11/relationships/FeaturePropertyBag" Target="featurePropertyBag/feature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cat>
            <c:strRef>
              <c:f>Guide!$H$265:$H$274</c:f>
              <c:strCache>
                <c:ptCount val="10"/>
                <c:pt idx="0">
                  <c:v>Land opportunity cost</c:v>
                </c:pt>
                <c:pt idx="1">
                  <c:v>+trees</c:v>
                </c:pt>
                <c:pt idx="2">
                  <c:v>+livestock shelter</c:v>
                </c:pt>
                <c:pt idx="3">
                  <c:v>+adj pad interaction</c:v>
                </c:pt>
                <c:pt idx="4">
                  <c:v>+carbon</c:v>
                </c:pt>
                <c:pt idx="5">
                  <c:v>+biodiversity</c:v>
                </c:pt>
                <c:pt idx="6">
                  <c:v>+harvesting</c:v>
                </c:pt>
                <c:pt idx="7">
                  <c:v>+micro-climate</c:v>
                </c:pt>
                <c:pt idx="8">
                  <c:v>+increased grazing</c:v>
                </c:pt>
                <c:pt idx="9">
                  <c:v>+reduced salinity spread</c:v>
                </c:pt>
              </c:strCache>
            </c:strRef>
          </c:cat>
          <c:val>
            <c:numRef>
              <c:f>Guide!$G$265:$G$274</c:f>
              <c:numCache>
                <c:formatCode>0</c:formatCode>
                <c:ptCount val="10"/>
                <c:pt idx="0">
                  <c:v>169</c:v>
                </c:pt>
                <c:pt idx="1">
                  <c:v>116.34926603661927</c:v>
                </c:pt>
                <c:pt idx="2">
                  <c:v>2</c:v>
                </c:pt>
                <c:pt idx="3">
                  <c:v>-188.63157894736841</c:v>
                </c:pt>
                <c:pt idx="4">
                  <c:v>212.53226892482306</c:v>
                </c:pt>
                <c:pt idx="5">
                  <c:v>-415.23851514576296</c:v>
                </c:pt>
                <c:pt idx="6">
                  <c:v>192.88584987905506</c:v>
                </c:pt>
                <c:pt idx="7">
                  <c:v>8.9025412488726197</c:v>
                </c:pt>
                <c:pt idx="8">
                  <c:v>4.2705399638929924</c:v>
                </c:pt>
                <c:pt idx="9">
                  <c:v>3444</c:v>
                </c:pt>
              </c:numCache>
            </c:numRef>
          </c:val>
          <c:extLst>
            <c:ext xmlns:c16="http://schemas.microsoft.com/office/drawing/2014/chart" uri="{C3380CC4-5D6E-409C-BE32-E72D297353CC}">
              <c16:uniqueId val="{00000000-A082-4E9A-8694-D3ABACEBC2C0}"/>
            </c:ext>
          </c:extLst>
        </c:ser>
        <c:dLbls>
          <c:showLegendKey val="0"/>
          <c:showVal val="0"/>
          <c:showCatName val="0"/>
          <c:showSerName val="0"/>
          <c:showPercent val="0"/>
          <c:showBubbleSize val="0"/>
        </c:dLbls>
        <c:gapWidth val="219"/>
        <c:overlap val="100"/>
        <c:axId val="156120000"/>
        <c:axId val="156120480"/>
      </c:barChart>
      <c:catAx>
        <c:axId val="1561200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20480"/>
        <c:crosses val="autoZero"/>
        <c:auto val="1"/>
        <c:lblAlgn val="ctr"/>
        <c:lblOffset val="100"/>
        <c:noMultiLvlLbl val="0"/>
      </c:catAx>
      <c:valAx>
        <c:axId val="156120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Profit ($/ha of trees/yr)</a:t>
                </a:r>
              </a:p>
            </c:rich>
          </c:tx>
          <c:layout>
            <c:manualLayout>
              <c:xMode val="edge"/>
              <c:yMode val="edge"/>
              <c:x val="1.3888888888888888E-2"/>
              <c:y val="0.116958066288225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2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Carbon, Carbon &amp; co-benefits, Biodiversity</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9"/>
              <c:pt idx="0">
                <c:v>0</c:v>
              </c:pt>
              <c:pt idx="1">
                <c:v>10</c:v>
              </c:pt>
              <c:pt idx="2">
                <c:v>30</c:v>
              </c:pt>
              <c:pt idx="3">
                <c:v>50</c:v>
              </c:pt>
              <c:pt idx="4">
                <c:v>100</c:v>
              </c:pt>
              <c:pt idx="5">
                <c:v>150</c:v>
              </c:pt>
              <c:pt idx="6">
                <c:v>200</c:v>
              </c:pt>
              <c:pt idx="7">
                <c:v>250</c:v>
              </c:pt>
              <c:pt idx="8">
                <c:v>300</c:v>
              </c:pt>
            </c:numLit>
          </c:xVal>
          <c:yVal>
            <c:numLit>
              <c:formatCode>General</c:formatCode>
              <c:ptCount val="9"/>
              <c:pt idx="0">
                <c:v>0.25</c:v>
              </c:pt>
              <c:pt idx="1">
                <c:v>0.35</c:v>
              </c:pt>
              <c:pt idx="2">
                <c:v>0.5</c:v>
              </c:pt>
              <c:pt idx="3">
                <c:v>0.65</c:v>
              </c:pt>
              <c:pt idx="4">
                <c:v>0.8</c:v>
              </c:pt>
              <c:pt idx="5">
                <c:v>0.9</c:v>
              </c:pt>
              <c:pt idx="6">
                <c:v>0.94</c:v>
              </c:pt>
              <c:pt idx="7">
                <c:v>0.97499999999999998</c:v>
              </c:pt>
              <c:pt idx="8">
                <c:v>1</c:v>
              </c:pt>
            </c:numLit>
          </c:yVal>
          <c:smooth val="1"/>
          <c:extLst>
            <c:ext xmlns:c16="http://schemas.microsoft.com/office/drawing/2014/chart" uri="{C3380CC4-5D6E-409C-BE32-E72D297353CC}">
              <c16:uniqueId val="{00000000-B626-4EA7-8EC7-76FC18B0CDFF}"/>
            </c:ext>
          </c:extLst>
        </c:ser>
        <c:ser>
          <c:idx val="3"/>
          <c:order val="3"/>
          <c:tx>
            <c:v>Harvesting</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Lit>
              <c:formatCode>General</c:formatCode>
              <c:ptCount val="9"/>
              <c:pt idx="0">
                <c:v>0</c:v>
              </c:pt>
              <c:pt idx="1">
                <c:v>10</c:v>
              </c:pt>
              <c:pt idx="2">
                <c:v>30</c:v>
              </c:pt>
              <c:pt idx="3">
                <c:v>50</c:v>
              </c:pt>
              <c:pt idx="4">
                <c:v>100</c:v>
              </c:pt>
              <c:pt idx="5">
                <c:v>150</c:v>
              </c:pt>
              <c:pt idx="6">
                <c:v>200</c:v>
              </c:pt>
              <c:pt idx="7">
                <c:v>250</c:v>
              </c:pt>
              <c:pt idx="8">
                <c:v>300</c:v>
              </c:pt>
            </c:numLit>
          </c:xVal>
          <c:yVal>
            <c:numLit>
              <c:formatCode>General</c:formatCode>
              <c:ptCount val="9"/>
              <c:pt idx="0">
                <c:v>0.25</c:v>
              </c:pt>
              <c:pt idx="1">
                <c:v>0.68</c:v>
              </c:pt>
              <c:pt idx="2">
                <c:v>0.92500000000000004</c:v>
              </c:pt>
              <c:pt idx="3">
                <c:v>1</c:v>
              </c:pt>
              <c:pt idx="4">
                <c:v>1</c:v>
              </c:pt>
              <c:pt idx="5">
                <c:v>1</c:v>
              </c:pt>
              <c:pt idx="6">
                <c:v>1</c:v>
              </c:pt>
              <c:pt idx="7">
                <c:v>1</c:v>
              </c:pt>
              <c:pt idx="8">
                <c:v>1</c:v>
              </c:pt>
            </c:numLit>
          </c:yVal>
          <c:smooth val="1"/>
          <c:extLst>
            <c:ext xmlns:c16="http://schemas.microsoft.com/office/drawing/2014/chart" uri="{C3380CC4-5D6E-409C-BE32-E72D297353CC}">
              <c16:uniqueId val="{00000001-B626-4EA7-8EC7-76FC18B0CDFF}"/>
            </c:ext>
          </c:extLst>
        </c:ser>
        <c:dLbls>
          <c:showLegendKey val="0"/>
          <c:showVal val="0"/>
          <c:showCatName val="0"/>
          <c:showSerName val="0"/>
          <c:showPercent val="0"/>
          <c:showBubbleSize val="0"/>
        </c:dLbls>
        <c:axId val="750568160"/>
        <c:axId val="750568640"/>
        <c:extLst>
          <c:ext xmlns:c15="http://schemas.microsoft.com/office/drawing/2012/chart" uri="{02D57815-91ED-43cb-92C2-25804820EDAC}">
            <c15:filteredScatterSeries>
              <c15:ser>
                <c:idx val="1"/>
                <c:order val="1"/>
                <c:tx>
                  <c:v>Carbon &amp; co-benefits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9"/>
                    <c:pt idx="0">
                      <c:v>0</c:v>
                    </c:pt>
                    <c:pt idx="1">
                      <c:v>10</c:v>
                    </c:pt>
                    <c:pt idx="2">
                      <c:v>30</c:v>
                    </c:pt>
                    <c:pt idx="3">
                      <c:v>50</c:v>
                    </c:pt>
                    <c:pt idx="4">
                      <c:v>100</c:v>
                    </c:pt>
                    <c:pt idx="5">
                      <c:v>150</c:v>
                    </c:pt>
                    <c:pt idx="6">
                      <c:v>200</c:v>
                    </c:pt>
                    <c:pt idx="7">
                      <c:v>250</c:v>
                    </c:pt>
                    <c:pt idx="8">
                      <c:v>300</c:v>
                    </c:pt>
                  </c:numLit>
                </c:xVal>
                <c:yVal>
                  <c:numLit>
                    <c:formatCode>General</c:formatCode>
                    <c:ptCount val="9"/>
                    <c:pt idx="0">
                      <c:v>0.25</c:v>
                    </c:pt>
                    <c:pt idx="1">
                      <c:v>0.35</c:v>
                    </c:pt>
                    <c:pt idx="2">
                      <c:v>0.5</c:v>
                    </c:pt>
                    <c:pt idx="3">
                      <c:v>0.65</c:v>
                    </c:pt>
                    <c:pt idx="4">
                      <c:v>0.8</c:v>
                    </c:pt>
                    <c:pt idx="5">
                      <c:v>0.9</c:v>
                    </c:pt>
                    <c:pt idx="6">
                      <c:v>0.94</c:v>
                    </c:pt>
                    <c:pt idx="7">
                      <c:v>0.97499999999999998</c:v>
                    </c:pt>
                    <c:pt idx="8">
                      <c:v>1</c:v>
                    </c:pt>
                  </c:numLit>
                </c:yVal>
                <c:smooth val="1"/>
                <c:extLst>
                  <c:ext xmlns:c16="http://schemas.microsoft.com/office/drawing/2014/chart" uri="{C3380CC4-5D6E-409C-BE32-E72D297353CC}">
                    <c16:uniqueId val="{00000002-B626-4EA7-8EC7-76FC18B0CDFF}"/>
                  </c:ext>
                </c:extLst>
              </c15:ser>
            </c15:filteredScatterSeries>
            <c15:filteredScatterSeries>
              <c15:ser>
                <c:idx val="2"/>
                <c:order val="2"/>
                <c:tx>
                  <c:v>Biodiversity</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9"/>
                    <c:pt idx="0">
                      <c:v>0</c:v>
                    </c:pt>
                    <c:pt idx="1">
                      <c:v>10</c:v>
                    </c:pt>
                    <c:pt idx="2">
                      <c:v>30</c:v>
                    </c:pt>
                    <c:pt idx="3">
                      <c:v>50</c:v>
                    </c:pt>
                    <c:pt idx="4">
                      <c:v>100</c:v>
                    </c:pt>
                    <c:pt idx="5">
                      <c:v>150</c:v>
                    </c:pt>
                    <c:pt idx="6">
                      <c:v>200</c:v>
                    </c:pt>
                    <c:pt idx="7">
                      <c:v>250</c:v>
                    </c:pt>
                    <c:pt idx="8">
                      <c:v>300</c:v>
                    </c:pt>
                  </c:numLit>
                </c:xVal>
                <c:yVal>
                  <c:numLit>
                    <c:formatCode>General</c:formatCode>
                    <c:ptCount val="9"/>
                    <c:pt idx="0">
                      <c:v>0.25</c:v>
                    </c:pt>
                    <c:pt idx="1">
                      <c:v>0.35</c:v>
                    </c:pt>
                    <c:pt idx="2">
                      <c:v>0.5</c:v>
                    </c:pt>
                    <c:pt idx="3">
                      <c:v>0.65</c:v>
                    </c:pt>
                    <c:pt idx="4">
                      <c:v>0.8</c:v>
                    </c:pt>
                    <c:pt idx="5">
                      <c:v>0.9</c:v>
                    </c:pt>
                    <c:pt idx="6">
                      <c:v>0.94</c:v>
                    </c:pt>
                    <c:pt idx="7">
                      <c:v>0.97499999999999998</c:v>
                    </c:pt>
                    <c:pt idx="8">
                      <c:v>1</c:v>
                    </c:pt>
                  </c:numLit>
                </c:yVal>
                <c:smooth val="1"/>
                <c:extLst xmlns:c15="http://schemas.microsoft.com/office/drawing/2012/chart">
                  <c:ext xmlns:c16="http://schemas.microsoft.com/office/drawing/2014/chart" uri="{C3380CC4-5D6E-409C-BE32-E72D297353CC}">
                    <c16:uniqueId val="{00000003-B626-4EA7-8EC7-76FC18B0CDFF}"/>
                  </c:ext>
                </c:extLst>
              </c15:ser>
            </c15:filteredScatterSeries>
          </c:ext>
        </c:extLst>
      </c:scatterChart>
      <c:valAx>
        <c:axId val="75056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Distance from trees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68640"/>
        <c:crosses val="autoZero"/>
        <c:crossBetween val="midCat"/>
      </c:valAx>
      <c:valAx>
        <c:axId val="750568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Relative wind speed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681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16"/>
              <c:pt idx="0">
                <c:v>-40</c:v>
              </c:pt>
              <c:pt idx="1">
                <c:v>-20</c:v>
              </c:pt>
              <c:pt idx="2">
                <c:v>-11</c:v>
              </c:pt>
              <c:pt idx="3">
                <c:v>-8.25</c:v>
              </c:pt>
              <c:pt idx="4">
                <c:v>-5.5</c:v>
              </c:pt>
              <c:pt idx="5">
                <c:v>-2.75</c:v>
              </c:pt>
              <c:pt idx="6">
                <c:v>0</c:v>
              </c:pt>
              <c:pt idx="7">
                <c:v>2.75</c:v>
              </c:pt>
              <c:pt idx="8">
                <c:v>5.5</c:v>
              </c:pt>
              <c:pt idx="9">
                <c:v>8.25</c:v>
              </c:pt>
              <c:pt idx="10">
                <c:v>11</c:v>
              </c:pt>
              <c:pt idx="11">
                <c:v>15</c:v>
              </c:pt>
              <c:pt idx="12">
                <c:v>20</c:v>
              </c:pt>
              <c:pt idx="13">
                <c:v>30</c:v>
              </c:pt>
              <c:pt idx="14">
                <c:v>40</c:v>
              </c:pt>
              <c:pt idx="15">
                <c:v>80</c:v>
              </c:pt>
            </c:numLit>
          </c:xVal>
          <c:yVal>
            <c:numLit>
              <c:formatCode>0.00</c:formatCode>
              <c:ptCount val="16"/>
              <c:pt idx="0">
                <c:v>1</c:v>
              </c:pt>
              <c:pt idx="1">
                <c:v>1</c:v>
              </c:pt>
              <c:pt idx="2">
                <c:v>1</c:v>
              </c:pt>
              <c:pt idx="3">
                <c:v>0.81</c:v>
              </c:pt>
              <c:pt idx="4">
                <c:v>0.62</c:v>
              </c:pt>
              <c:pt idx="5">
                <c:v>0.43</c:v>
              </c:pt>
              <c:pt idx="6">
                <c:v>0.24</c:v>
              </c:pt>
              <c:pt idx="7">
                <c:v>0.43</c:v>
              </c:pt>
              <c:pt idx="8">
                <c:v>0.62</c:v>
              </c:pt>
              <c:pt idx="9">
                <c:v>0.81</c:v>
              </c:pt>
              <c:pt idx="10">
                <c:v>1</c:v>
              </c:pt>
              <c:pt idx="11">
                <c:v>1.02</c:v>
              </c:pt>
              <c:pt idx="12">
                <c:v>1.04</c:v>
              </c:pt>
              <c:pt idx="13">
                <c:v>1.04</c:v>
              </c:pt>
              <c:pt idx="14">
                <c:v>1.04</c:v>
              </c:pt>
              <c:pt idx="15">
                <c:v>1</c:v>
              </c:pt>
            </c:numLit>
          </c:yVal>
          <c:smooth val="0"/>
          <c:extLst>
            <c:ext xmlns:c16="http://schemas.microsoft.com/office/drawing/2014/chart" uri="{C3380CC4-5D6E-409C-BE32-E72D297353CC}">
              <c16:uniqueId val="{00000000-A11D-4EED-9C48-D02F58972297}"/>
            </c:ext>
          </c:extLst>
        </c:ser>
        <c:ser>
          <c:idx val="1"/>
          <c:order val="1"/>
          <c:tx>
            <c:v>Harvested</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16"/>
              <c:pt idx="0">
                <c:v>-40</c:v>
              </c:pt>
              <c:pt idx="1">
                <c:v>-20</c:v>
              </c:pt>
              <c:pt idx="2">
                <c:v>-11</c:v>
              </c:pt>
              <c:pt idx="3">
                <c:v>-8.25</c:v>
              </c:pt>
              <c:pt idx="4">
                <c:v>-5.5</c:v>
              </c:pt>
              <c:pt idx="5">
                <c:v>-2.75</c:v>
              </c:pt>
              <c:pt idx="6">
                <c:v>0</c:v>
              </c:pt>
              <c:pt idx="7">
                <c:v>2.75</c:v>
              </c:pt>
              <c:pt idx="8">
                <c:v>5.5</c:v>
              </c:pt>
              <c:pt idx="9">
                <c:v>8.25</c:v>
              </c:pt>
              <c:pt idx="10">
                <c:v>11</c:v>
              </c:pt>
              <c:pt idx="11">
                <c:v>15</c:v>
              </c:pt>
              <c:pt idx="12">
                <c:v>20</c:v>
              </c:pt>
              <c:pt idx="13">
                <c:v>30</c:v>
              </c:pt>
              <c:pt idx="14">
                <c:v>40</c:v>
              </c:pt>
              <c:pt idx="15">
                <c:v>80</c:v>
              </c:pt>
            </c:numLit>
          </c:xVal>
          <c:yVal>
            <c:numLit>
              <c:formatCode>0.00</c:formatCode>
              <c:ptCount val="16"/>
              <c:pt idx="0">
                <c:v>1</c:v>
              </c:pt>
              <c:pt idx="1">
                <c:v>1</c:v>
              </c:pt>
              <c:pt idx="2">
                <c:v>1</c:v>
              </c:pt>
              <c:pt idx="3">
                <c:v>0.90500000000000003</c:v>
              </c:pt>
              <c:pt idx="4">
                <c:v>0.81</c:v>
              </c:pt>
              <c:pt idx="5">
                <c:v>0.71499999999999997</c:v>
              </c:pt>
              <c:pt idx="6">
                <c:v>0.62</c:v>
              </c:pt>
              <c:pt idx="7">
                <c:v>0.71499999999999997</c:v>
              </c:pt>
              <c:pt idx="8">
                <c:v>0.81</c:v>
              </c:pt>
              <c:pt idx="9">
                <c:v>0.90500000000000003</c:v>
              </c:pt>
              <c:pt idx="10">
                <c:v>1</c:v>
              </c:pt>
              <c:pt idx="11">
                <c:v>1.01</c:v>
              </c:pt>
              <c:pt idx="12" formatCode="0.000">
                <c:v>1.02</c:v>
              </c:pt>
              <c:pt idx="13" formatCode="0.000">
                <c:v>1.02</c:v>
              </c:pt>
              <c:pt idx="14" formatCode="0.000">
                <c:v>1.02</c:v>
              </c:pt>
              <c:pt idx="15">
                <c:v>1</c:v>
              </c:pt>
            </c:numLit>
          </c:yVal>
          <c:smooth val="0"/>
          <c:extLst>
            <c:ext xmlns:c16="http://schemas.microsoft.com/office/drawing/2014/chart" uri="{C3380CC4-5D6E-409C-BE32-E72D297353CC}">
              <c16:uniqueId val="{00000001-A11D-4EED-9C48-D02F58972297}"/>
            </c:ext>
          </c:extLst>
        </c:ser>
        <c:dLbls>
          <c:showLegendKey val="0"/>
          <c:showVal val="0"/>
          <c:showCatName val="0"/>
          <c:showSerName val="0"/>
          <c:showPercent val="0"/>
          <c:showBubbleSize val="0"/>
        </c:dLbls>
        <c:axId val="699260719"/>
        <c:axId val="699257359"/>
      </c:scatterChart>
      <c:valAx>
        <c:axId val="699260719"/>
        <c:scaling>
          <c:orientation val="minMax"/>
          <c:min val="-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Distance from trees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57359"/>
        <c:crosses val="autoZero"/>
        <c:crossBetween val="midCat"/>
      </c:valAx>
      <c:valAx>
        <c:axId val="699257359"/>
        <c:scaling>
          <c:orientation val="minMax"/>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Relative production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607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a:t>Net CO2e and net cash flow </a:t>
            </a:r>
          </a:p>
        </c:rich>
      </c:tx>
      <c:overlay val="0"/>
    </c:title>
    <c:autoTitleDeleted val="0"/>
    <c:plotArea>
      <c:layout/>
      <c:lineChart>
        <c:grouping val="standard"/>
        <c:varyColors val="1"/>
        <c:ser>
          <c:idx val="0"/>
          <c:order val="0"/>
          <c:tx>
            <c:v>Net CO2e (kg/ha)</c:v>
          </c:tx>
          <c:cat>
            <c:numRef>
              <c:f>[1]Summary!$H$4:$H$29</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Calculations!$G$60:$G$85</c:f>
              <c:numCache>
                <c:formatCode>0.00</c:formatCode>
                <c:ptCount val="26"/>
                <c:pt idx="0">
                  <c:v>-108.62532000000002</c:v>
                </c:pt>
                <c:pt idx="1">
                  <c:v>591.15252957205973</c:v>
                </c:pt>
                <c:pt idx="2">
                  <c:v>4116.7970350901205</c:v>
                </c:pt>
                <c:pt idx="3">
                  <c:v>12115.933653101752</c:v>
                </c:pt>
                <c:pt idx="4">
                  <c:v>16409.823966959757</c:v>
                </c:pt>
                <c:pt idx="5">
                  <c:v>17405.341712602654</c:v>
                </c:pt>
                <c:pt idx="6">
                  <c:v>16890.900139510668</c:v>
                </c:pt>
                <c:pt idx="7">
                  <c:v>15819.284386902129</c:v>
                </c:pt>
                <c:pt idx="8">
                  <c:v>14597.330222166333</c:v>
                </c:pt>
                <c:pt idx="9">
                  <c:v>-43001.646799104463</c:v>
                </c:pt>
                <c:pt idx="10">
                  <c:v>14368.363551078954</c:v>
                </c:pt>
                <c:pt idx="11">
                  <c:v>14339.407572010432</c:v>
                </c:pt>
                <c:pt idx="12">
                  <c:v>13971.899312461743</c:v>
                </c:pt>
                <c:pt idx="13">
                  <c:v>13489.355549176609</c:v>
                </c:pt>
                <c:pt idx="14">
                  <c:v>12932.736061564981</c:v>
                </c:pt>
                <c:pt idx="15">
                  <c:v>-48200.879781090058</c:v>
                </c:pt>
                <c:pt idx="16">
                  <c:v>12492.42378457375</c:v>
                </c:pt>
                <c:pt idx="17">
                  <c:v>12970.298613855972</c:v>
                </c:pt>
                <c:pt idx="18">
                  <c:v>13025.8814007741</c:v>
                </c:pt>
                <c:pt idx="19">
                  <c:v>12886.339777817984</c:v>
                </c:pt>
                <c:pt idx="20">
                  <c:v>12602.161097445143</c:v>
                </c:pt>
                <c:pt idx="21">
                  <c:v>-50867.718188045299</c:v>
                </c:pt>
                <c:pt idx="22">
                  <c:v>12292.402931391181</c:v>
                </c:pt>
                <c:pt idx="23">
                  <c:v>12913.863062880811</c:v>
                </c:pt>
                <c:pt idx="24">
                  <c:v>13075.003154628106</c:v>
                </c:pt>
                <c:pt idx="25">
                  <c:v>-31308.179811325452</c:v>
                </c:pt>
              </c:numCache>
            </c:numRef>
          </c:val>
          <c:smooth val="0"/>
          <c:extLst>
            <c:ext xmlns:c16="http://schemas.microsoft.com/office/drawing/2014/chart" uri="{C3380CC4-5D6E-409C-BE32-E72D297353CC}">
              <c16:uniqueId val="{00000000-0EF3-4EE9-B9EA-89E8696D59E4}"/>
            </c:ext>
          </c:extLst>
        </c:ser>
        <c:ser>
          <c:idx val="1"/>
          <c:order val="1"/>
          <c:tx>
            <c:v>Net cash flow ($/ha)</c:v>
          </c:tx>
          <c:cat>
            <c:numRef>
              <c:f>[1]Summary!$H$4:$H$29</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Calculations!$K$60:$K$85</c:f>
              <c:numCache>
                <c:formatCode>\$#,##0.00</c:formatCode>
                <c:ptCount val="26"/>
                <c:pt idx="0">
                  <c:v>-4.3450128000000001</c:v>
                </c:pt>
                <c:pt idx="1">
                  <c:v>23.64610118288239</c:v>
                </c:pt>
                <c:pt idx="2">
                  <c:v>164.6718814036048</c:v>
                </c:pt>
                <c:pt idx="3">
                  <c:v>484.63734612407006</c:v>
                </c:pt>
                <c:pt idx="4">
                  <c:v>656.39295867839019</c:v>
                </c:pt>
                <c:pt idx="5">
                  <c:v>696.21366850410618</c:v>
                </c:pt>
                <c:pt idx="6">
                  <c:v>675.63600558042663</c:v>
                </c:pt>
                <c:pt idx="7">
                  <c:v>632.77137547608515</c:v>
                </c:pt>
                <c:pt idx="8">
                  <c:v>583.89320888665327</c:v>
                </c:pt>
                <c:pt idx="9">
                  <c:v>-1720.0658719641785</c:v>
                </c:pt>
                <c:pt idx="10">
                  <c:v>574.73454204315817</c:v>
                </c:pt>
                <c:pt idx="11">
                  <c:v>573.5763028804173</c:v>
                </c:pt>
                <c:pt idx="12">
                  <c:v>558.87597249846965</c:v>
                </c:pt>
                <c:pt idx="13">
                  <c:v>539.57422196706443</c:v>
                </c:pt>
                <c:pt idx="14">
                  <c:v>517.30944246259924</c:v>
                </c:pt>
                <c:pt idx="15">
                  <c:v>-1928.0351912436024</c:v>
                </c:pt>
                <c:pt idx="16">
                  <c:v>499.69695138295003</c:v>
                </c:pt>
                <c:pt idx="17">
                  <c:v>518.81194455423883</c:v>
                </c:pt>
                <c:pt idx="18">
                  <c:v>521.03525603096398</c:v>
                </c:pt>
                <c:pt idx="19">
                  <c:v>515.45359111271932</c:v>
                </c:pt>
                <c:pt idx="20">
                  <c:v>504.08644389780579</c:v>
                </c:pt>
                <c:pt idx="21">
                  <c:v>-2034.7087275218121</c:v>
                </c:pt>
                <c:pt idx="22">
                  <c:v>491.69611725564727</c:v>
                </c:pt>
                <c:pt idx="23">
                  <c:v>516.55452251523241</c:v>
                </c:pt>
                <c:pt idx="24">
                  <c:v>523.00012618512426</c:v>
                </c:pt>
                <c:pt idx="25">
                  <c:v>-1252.3271924530181</c:v>
                </c:pt>
              </c:numCache>
            </c:numRef>
          </c:val>
          <c:smooth val="0"/>
          <c:extLst>
            <c:ext xmlns:c16="http://schemas.microsoft.com/office/drawing/2014/chart" uri="{C3380CC4-5D6E-409C-BE32-E72D297353CC}">
              <c16:uniqueId val="{00000001-0EF3-4EE9-B9EA-89E8696D59E4}"/>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AU"/>
              <a:t>Net CO2e and net cash flow </a:t>
            </a:r>
          </a:p>
        </c:rich>
      </c:tx>
      <c:overlay val="0"/>
    </c:title>
    <c:autoTitleDeleted val="0"/>
    <c:plotArea>
      <c:layout/>
      <c:lineChart>
        <c:grouping val="standard"/>
        <c:varyColors val="1"/>
        <c:ser>
          <c:idx val="0"/>
          <c:order val="0"/>
          <c:tx>
            <c:v>Net CO2e (kg/ha)</c:v>
          </c:tx>
          <c:cat>
            <c:numRef>
              <c:f>[1]Summary!$H$4:$H$29</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Calculations!$G$60:$G$85</c:f>
              <c:numCache>
                <c:formatCode>0.00</c:formatCode>
                <c:ptCount val="26"/>
                <c:pt idx="0">
                  <c:v>-108.62532000000002</c:v>
                </c:pt>
                <c:pt idx="1">
                  <c:v>591.15252957205973</c:v>
                </c:pt>
                <c:pt idx="2">
                  <c:v>4116.7970350901205</c:v>
                </c:pt>
                <c:pt idx="3">
                  <c:v>12115.933653101752</c:v>
                </c:pt>
                <c:pt idx="4">
                  <c:v>16409.823966959757</c:v>
                </c:pt>
                <c:pt idx="5">
                  <c:v>17405.341712602654</c:v>
                </c:pt>
                <c:pt idx="6">
                  <c:v>16890.900139510668</c:v>
                </c:pt>
                <c:pt idx="7">
                  <c:v>15819.284386902129</c:v>
                </c:pt>
                <c:pt idx="8">
                  <c:v>14597.330222166333</c:v>
                </c:pt>
                <c:pt idx="9">
                  <c:v>-43001.646799104463</c:v>
                </c:pt>
                <c:pt idx="10">
                  <c:v>14368.363551078954</c:v>
                </c:pt>
                <c:pt idx="11">
                  <c:v>14339.407572010432</c:v>
                </c:pt>
                <c:pt idx="12">
                  <c:v>13971.899312461743</c:v>
                </c:pt>
                <c:pt idx="13">
                  <c:v>13489.355549176609</c:v>
                </c:pt>
                <c:pt idx="14">
                  <c:v>12932.736061564981</c:v>
                </c:pt>
                <c:pt idx="15">
                  <c:v>-48200.879781090058</c:v>
                </c:pt>
                <c:pt idx="16">
                  <c:v>12492.42378457375</c:v>
                </c:pt>
                <c:pt idx="17">
                  <c:v>12970.298613855972</c:v>
                </c:pt>
                <c:pt idx="18">
                  <c:v>13025.8814007741</c:v>
                </c:pt>
                <c:pt idx="19">
                  <c:v>12886.339777817984</c:v>
                </c:pt>
                <c:pt idx="20">
                  <c:v>12602.161097445143</c:v>
                </c:pt>
                <c:pt idx="21">
                  <c:v>-50867.718188045299</c:v>
                </c:pt>
                <c:pt idx="22">
                  <c:v>12292.402931391181</c:v>
                </c:pt>
                <c:pt idx="23">
                  <c:v>12913.863062880811</c:v>
                </c:pt>
                <c:pt idx="24">
                  <c:v>13075.003154628106</c:v>
                </c:pt>
                <c:pt idx="25">
                  <c:v>-31308.179811325452</c:v>
                </c:pt>
              </c:numCache>
            </c:numRef>
          </c:val>
          <c:smooth val="0"/>
          <c:extLst>
            <c:ext xmlns:c16="http://schemas.microsoft.com/office/drawing/2014/chart" uri="{C3380CC4-5D6E-409C-BE32-E72D297353CC}">
              <c16:uniqueId val="{00000000-E70C-4137-8D76-0953F6E09D21}"/>
            </c:ext>
          </c:extLst>
        </c:ser>
        <c:ser>
          <c:idx val="1"/>
          <c:order val="1"/>
          <c:tx>
            <c:v>Net cash flow ($/ha)</c:v>
          </c:tx>
          <c:cat>
            <c:numRef>
              <c:f>[1]Summary!$H$4:$H$29</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Calculations!$K$60:$K$85</c:f>
              <c:numCache>
                <c:formatCode>\$#,##0.00</c:formatCode>
                <c:ptCount val="26"/>
                <c:pt idx="0">
                  <c:v>-4.3450128000000001</c:v>
                </c:pt>
                <c:pt idx="1">
                  <c:v>23.64610118288239</c:v>
                </c:pt>
                <c:pt idx="2">
                  <c:v>164.6718814036048</c:v>
                </c:pt>
                <c:pt idx="3">
                  <c:v>484.63734612407006</c:v>
                </c:pt>
                <c:pt idx="4">
                  <c:v>656.39295867839019</c:v>
                </c:pt>
                <c:pt idx="5">
                  <c:v>696.21366850410618</c:v>
                </c:pt>
                <c:pt idx="6">
                  <c:v>675.63600558042663</c:v>
                </c:pt>
                <c:pt idx="7">
                  <c:v>632.77137547608515</c:v>
                </c:pt>
                <c:pt idx="8">
                  <c:v>583.89320888665327</c:v>
                </c:pt>
                <c:pt idx="9">
                  <c:v>-1720.0658719641785</c:v>
                </c:pt>
                <c:pt idx="10">
                  <c:v>574.73454204315817</c:v>
                </c:pt>
                <c:pt idx="11">
                  <c:v>573.5763028804173</c:v>
                </c:pt>
                <c:pt idx="12">
                  <c:v>558.87597249846965</c:v>
                </c:pt>
                <c:pt idx="13">
                  <c:v>539.57422196706443</c:v>
                </c:pt>
                <c:pt idx="14">
                  <c:v>517.30944246259924</c:v>
                </c:pt>
                <c:pt idx="15">
                  <c:v>-1928.0351912436024</c:v>
                </c:pt>
                <c:pt idx="16">
                  <c:v>499.69695138295003</c:v>
                </c:pt>
                <c:pt idx="17">
                  <c:v>518.81194455423883</c:v>
                </c:pt>
                <c:pt idx="18">
                  <c:v>521.03525603096398</c:v>
                </c:pt>
                <c:pt idx="19">
                  <c:v>515.45359111271932</c:v>
                </c:pt>
                <c:pt idx="20">
                  <c:v>504.08644389780579</c:v>
                </c:pt>
                <c:pt idx="21">
                  <c:v>-2034.7087275218121</c:v>
                </c:pt>
                <c:pt idx="22">
                  <c:v>491.69611725564727</c:v>
                </c:pt>
                <c:pt idx="23">
                  <c:v>516.55452251523241</c:v>
                </c:pt>
                <c:pt idx="24">
                  <c:v>523.00012618512426</c:v>
                </c:pt>
                <c:pt idx="25">
                  <c:v>-1252.3271924530181</c:v>
                </c:pt>
              </c:numCache>
            </c:numRef>
          </c:val>
          <c:smooth val="0"/>
          <c:extLst>
            <c:ext xmlns:c16="http://schemas.microsoft.com/office/drawing/2014/chart" uri="{C3380CC4-5D6E-409C-BE32-E72D297353CC}">
              <c16:uniqueId val="{00000001-E70C-4137-8D76-0953F6E09D21}"/>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420687</xdr:colOff>
      <xdr:row>258</xdr:row>
      <xdr:rowOff>1587</xdr:rowOff>
    </xdr:from>
    <xdr:to>
      <xdr:col>15</xdr:col>
      <xdr:colOff>192087</xdr:colOff>
      <xdr:row>273</xdr:row>
      <xdr:rowOff>17462</xdr:rowOff>
    </xdr:to>
    <xdr:graphicFrame macro="">
      <xdr:nvGraphicFramePr>
        <xdr:cNvPr id="7" name="Chart 6">
          <a:extLst>
            <a:ext uri="{FF2B5EF4-FFF2-40B4-BE49-F238E27FC236}">
              <a16:creationId xmlns:a16="http://schemas.microsoft.com/office/drawing/2014/main" id="{61FEF163-1CB9-1CCC-37A7-C4B1BB1F7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720725</xdr:colOff>
      <xdr:row>123</xdr:row>
      <xdr:rowOff>73025</xdr:rowOff>
    </xdr:from>
    <xdr:to>
      <xdr:col>9</xdr:col>
      <xdr:colOff>657225</xdr:colOff>
      <xdr:row>139</xdr:row>
      <xdr:rowOff>120650</xdr:rowOff>
    </xdr:to>
    <xdr:graphicFrame macro="">
      <xdr:nvGraphicFramePr>
        <xdr:cNvPr id="8" name="Chart 7">
          <a:extLst>
            <a:ext uri="{FF2B5EF4-FFF2-40B4-BE49-F238E27FC236}">
              <a16:creationId xmlns:a16="http://schemas.microsoft.com/office/drawing/2014/main" id="{41E0EC3D-3858-5D72-9FEE-DEB547B6F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742951</xdr:colOff>
      <xdr:row>146</xdr:row>
      <xdr:rowOff>114300</xdr:rowOff>
    </xdr:from>
    <xdr:to>
      <xdr:col>10</xdr:col>
      <xdr:colOff>158751</xdr:colOff>
      <xdr:row>161</xdr:row>
      <xdr:rowOff>114300</xdr:rowOff>
    </xdr:to>
    <xdr:graphicFrame macro="">
      <xdr:nvGraphicFramePr>
        <xdr:cNvPr id="9" name="Chart 8">
          <a:extLst>
            <a:ext uri="{FF2B5EF4-FFF2-40B4-BE49-F238E27FC236}">
              <a16:creationId xmlns:a16="http://schemas.microsoft.com/office/drawing/2014/main" id="{D59A2733-6886-4CCB-B7F5-FFE3169C4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117474</xdr:colOff>
      <xdr:row>171</xdr:row>
      <xdr:rowOff>25400</xdr:rowOff>
    </xdr:from>
    <xdr:to>
      <xdr:col>12</xdr:col>
      <xdr:colOff>1263650</xdr:colOff>
      <xdr:row>189</xdr:row>
      <xdr:rowOff>95250</xdr:rowOff>
    </xdr:to>
    <xdr:graphicFrame macro="">
      <xdr:nvGraphicFramePr>
        <xdr:cNvPr id="5" name="Chart">
          <a:extLst>
            <a:ext uri="{FF2B5EF4-FFF2-40B4-BE49-F238E27FC236}">
              <a16:creationId xmlns:a16="http://schemas.microsoft.com/office/drawing/2014/main" id="{1A812E29-B7B0-4381-A4A1-7196C37F5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847725</xdr:colOff>
      <xdr:row>86</xdr:row>
      <xdr:rowOff>66675</xdr:rowOff>
    </xdr:from>
    <xdr:to>
      <xdr:col>12</xdr:col>
      <xdr:colOff>266700</xdr:colOff>
      <xdr:row>105</xdr:row>
      <xdr:rowOff>85725</xdr:rowOff>
    </xdr:to>
    <xdr:graphicFrame macro="">
      <xdr:nvGraphicFramePr>
        <xdr:cNvPr id="2" name="Chart">
          <a:extLst>
            <a:ext uri="{FF2B5EF4-FFF2-40B4-BE49-F238E27FC236}">
              <a16:creationId xmlns:a16="http://schemas.microsoft.com/office/drawing/2014/main" id="{A02AE615-F984-4756-8588-3EAD4EA34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carbon_sequestration_model_template.xlsx" TargetMode="External"/><Relationship Id="rId2" Type="http://schemas.openxmlformats.org/officeDocument/2006/relationships/externalLinkPath" Target="file:///C:\Users\young\Downloads\carbon_sequestration_model_template.xlsx" TargetMode="External"/><Relationship Id="rId1" Type="http://schemas.openxmlformats.org/officeDocument/2006/relationships/externalLinkPath" Target="/Users/young/Downloads/carbon_sequestration_model_template.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odels/AFO%20calibration/Trees/Data%20req.xlsx" TargetMode="External"/><Relationship Id="rId2" Type="http://schemas.openxmlformats.org/officeDocument/2006/relationships/externalLinkPath" Target="file:///C:\Users\young\Dropbox\Michael\Work-Uni-Coding\Models\AFO%20calibration\Trees\Data%20req.xlsx" TargetMode="External"/><Relationship Id="rId1" Type="http://schemas.openxmlformats.org/officeDocument/2006/relationships/externalLinkPath" Target="/Users/young/Dropbox/Michael/Work-Uni-Coding/Models/AFO%20calibration/Trees/Data%20req.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puts"/>
      <sheetName val="Annual_Model"/>
      <sheetName val="Summary"/>
    </sheetNames>
    <sheetDataSet>
      <sheetData sheetId="0"/>
      <sheetData sheetId="1"/>
      <sheetData sheetId="2">
        <row r="4">
          <cell r="H4">
            <v>0</v>
          </cell>
        </row>
        <row r="5">
          <cell r="H5">
            <v>1</v>
          </cell>
        </row>
        <row r="6">
          <cell r="H6">
            <v>2</v>
          </cell>
        </row>
        <row r="7">
          <cell r="H7">
            <v>3</v>
          </cell>
        </row>
        <row r="8">
          <cell r="H8">
            <v>4</v>
          </cell>
        </row>
        <row r="9">
          <cell r="H9">
            <v>5</v>
          </cell>
        </row>
        <row r="10">
          <cell r="H10">
            <v>6</v>
          </cell>
        </row>
        <row r="11">
          <cell r="H11">
            <v>7</v>
          </cell>
        </row>
        <row r="12">
          <cell r="H12">
            <v>8</v>
          </cell>
        </row>
        <row r="13">
          <cell r="H13">
            <v>9</v>
          </cell>
        </row>
        <row r="14">
          <cell r="H14">
            <v>10</v>
          </cell>
        </row>
        <row r="15">
          <cell r="H15">
            <v>11</v>
          </cell>
        </row>
        <row r="16">
          <cell r="H16">
            <v>12</v>
          </cell>
        </row>
        <row r="17">
          <cell r="H17">
            <v>13</v>
          </cell>
        </row>
        <row r="18">
          <cell r="H18">
            <v>14</v>
          </cell>
        </row>
        <row r="19">
          <cell r="H19">
            <v>15</v>
          </cell>
        </row>
        <row r="20">
          <cell r="H20">
            <v>16</v>
          </cell>
        </row>
        <row r="21">
          <cell r="H21">
            <v>17</v>
          </cell>
        </row>
        <row r="22">
          <cell r="H22">
            <v>18</v>
          </cell>
        </row>
        <row r="23">
          <cell r="H23">
            <v>19</v>
          </cell>
        </row>
        <row r="24">
          <cell r="H24">
            <v>20</v>
          </cell>
        </row>
        <row r="25">
          <cell r="H25">
            <v>21</v>
          </cell>
        </row>
        <row r="26">
          <cell r="H26">
            <v>22</v>
          </cell>
        </row>
        <row r="27">
          <cell r="H27">
            <v>23</v>
          </cell>
        </row>
        <row r="28">
          <cell r="H28">
            <v>24</v>
          </cell>
        </row>
        <row r="29">
          <cell r="H29">
            <v>25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fo"/>
      <sheetName val="Tree_Subfolder_Paper_Summary"/>
      <sheetName val="Planting config"/>
      <sheetName val="Estab &amp; Maint Costs"/>
      <sheetName val="Biomass Production"/>
      <sheetName val="Emissions &amp; Seq"/>
      <sheetName val="Biodiversity"/>
      <sheetName val="Livestock Shelter"/>
      <sheetName val="Yield Impact"/>
      <sheetName val="PGR Impact"/>
      <sheetName val="DeepFlow"/>
      <sheetName val="Prices"/>
    </sheetNames>
    <sheetDataSet>
      <sheetData sheetId="0"/>
      <sheetData sheetId="1"/>
      <sheetData sheetId="2">
        <row r="13">
          <cell r="G13" t="str">
            <v>Carbon</v>
          </cell>
          <cell r="H13" t="str">
            <v>Carbon &amp; co-benefits</v>
          </cell>
          <cell r="I13" t="str">
            <v>Biodiversity</v>
          </cell>
          <cell r="J13" t="str">
            <v>Harvested</v>
          </cell>
        </row>
      </sheetData>
      <sheetData sheetId="3"/>
      <sheetData sheetId="4"/>
      <sheetData sheetId="5"/>
      <sheetData sheetId="6"/>
      <sheetData sheetId="7"/>
      <sheetData sheetId="8"/>
      <sheetData sheetId="9"/>
      <sheetData sheetId="10"/>
      <sheetData sheetId="1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hub.farmoptimisation.com/sign-in"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DCA5-9D04-4C75-9832-78A5430A14CC}">
  <sheetPr codeName="Sheet1"/>
  <dimension ref="A1:V1228"/>
  <sheetViews>
    <sheetView tabSelected="1" topLeftCell="A5" zoomScaleNormal="100" workbookViewId="0"/>
  </sheetViews>
  <sheetFormatPr defaultRowHeight="14.5" outlineLevelRow="2"/>
  <cols>
    <col min="1" max="1" width="4.453125" customWidth="1"/>
    <col min="2" max="2" width="1.54296875" customWidth="1"/>
    <col min="3" max="3" width="1.1796875" customWidth="1"/>
    <col min="4" max="4" width="2.1796875" customWidth="1"/>
    <col min="5" max="5" width="2.08984375" customWidth="1"/>
    <col min="6" max="6" width="15.08984375" customWidth="1"/>
    <col min="7" max="7" width="28.36328125" customWidth="1"/>
    <col min="8" max="12" width="11.453125" customWidth="1"/>
    <col min="13" max="13" width="19.26953125" customWidth="1"/>
    <col min="14" max="14" width="3.26953125" customWidth="1"/>
    <col min="15" max="18" width="11.453125" customWidth="1"/>
    <col min="19" max="19" width="2.7265625" customWidth="1"/>
    <col min="20" max="20" width="3" customWidth="1"/>
    <col min="21" max="21" width="3.08984375" customWidth="1"/>
    <col min="22" max="22" width="3.453125" customWidth="1"/>
  </cols>
  <sheetData>
    <row r="1" spans="1:22" ht="23.5">
      <c r="A1" s="68"/>
      <c r="B1" s="68"/>
      <c r="C1" s="68"/>
      <c r="D1" s="174" t="s">
        <v>11</v>
      </c>
      <c r="E1" s="174"/>
      <c r="F1" s="174"/>
      <c r="G1" s="174"/>
      <c r="H1" s="174"/>
      <c r="I1" s="174"/>
      <c r="J1" s="174"/>
      <c r="K1" s="174"/>
      <c r="L1" s="174"/>
      <c r="M1" s="174"/>
      <c r="N1" s="174"/>
      <c r="O1" s="174"/>
      <c r="P1" s="174"/>
      <c r="Q1" s="174"/>
      <c r="R1" s="174"/>
      <c r="S1" s="69"/>
      <c r="T1" s="69"/>
      <c r="U1" s="69"/>
      <c r="V1" s="68"/>
    </row>
    <row r="2" spans="1:22" ht="31" customHeight="1">
      <c r="A2" s="68"/>
      <c r="B2" s="68"/>
      <c r="C2" s="68"/>
      <c r="D2" s="175"/>
      <c r="E2" s="175"/>
      <c r="F2" s="175"/>
      <c r="G2" s="175"/>
      <c r="H2" s="70"/>
      <c r="I2" s="70"/>
      <c r="J2" s="70"/>
      <c r="K2" s="70"/>
      <c r="L2" s="70"/>
      <c r="M2" s="70"/>
      <c r="N2" s="70"/>
      <c r="O2" s="70"/>
      <c r="P2" s="70"/>
      <c r="Q2" s="70"/>
      <c r="R2" s="70"/>
      <c r="S2" s="70"/>
      <c r="T2" s="70"/>
      <c r="U2" s="70"/>
      <c r="V2" s="68"/>
    </row>
    <row r="3" spans="1:22">
      <c r="A3" s="4"/>
      <c r="B3" s="4"/>
      <c r="C3" s="4"/>
      <c r="D3" s="8"/>
      <c r="E3" s="8"/>
      <c r="F3" s="8"/>
      <c r="G3" s="4"/>
      <c r="H3" s="4"/>
      <c r="I3" s="4"/>
      <c r="J3" s="4"/>
      <c r="K3" s="4"/>
      <c r="L3" s="4"/>
      <c r="M3" s="4"/>
      <c r="N3" s="4"/>
      <c r="O3" s="4"/>
      <c r="P3" s="4"/>
      <c r="Q3" s="4"/>
      <c r="R3" s="4"/>
      <c r="S3" s="4"/>
      <c r="T3" s="4"/>
      <c r="U3" s="4"/>
      <c r="V3" s="4"/>
    </row>
    <row r="4" spans="1:22">
      <c r="A4" s="4"/>
      <c r="B4" s="5"/>
      <c r="C4" s="5"/>
      <c r="D4" s="9"/>
      <c r="E4" s="9"/>
      <c r="F4" s="9"/>
      <c r="G4" s="5"/>
      <c r="H4" s="5"/>
      <c r="I4" s="5"/>
      <c r="J4" s="5"/>
      <c r="K4" s="5"/>
      <c r="L4" s="5"/>
      <c r="M4" s="5"/>
      <c r="N4" s="5"/>
      <c r="O4" s="5"/>
      <c r="P4" s="5"/>
      <c r="Q4" s="5"/>
      <c r="R4" s="5"/>
      <c r="S4" s="5"/>
      <c r="T4" s="5"/>
      <c r="U4" s="5"/>
      <c r="V4" s="4"/>
    </row>
    <row r="5" spans="1:22" ht="17">
      <c r="A5" s="4"/>
      <c r="B5" s="5"/>
      <c r="C5" s="5"/>
      <c r="D5" s="10" t="s">
        <v>0</v>
      </c>
      <c r="E5" s="10"/>
      <c r="F5" s="10"/>
      <c r="G5" s="18" t="s">
        <v>58</v>
      </c>
      <c r="H5" s="18"/>
      <c r="I5" s="18"/>
      <c r="J5" s="18"/>
      <c r="U5" s="5"/>
      <c r="V5" s="4"/>
    </row>
    <row r="6" spans="1:22" outlineLevel="1">
      <c r="A6" s="4"/>
      <c r="B6" s="5"/>
      <c r="C6" s="5"/>
      <c r="D6" s="29"/>
      <c r="H6" s="6"/>
      <c r="I6" s="6"/>
      <c r="J6" s="6"/>
      <c r="K6" s="6"/>
      <c r="L6" s="6"/>
      <c r="M6" s="6"/>
      <c r="N6" s="6"/>
      <c r="O6" s="6"/>
      <c r="P6" s="6"/>
      <c r="Q6" s="6"/>
      <c r="R6" s="6"/>
      <c r="S6" s="6"/>
      <c r="T6" s="6"/>
      <c r="U6" s="5"/>
      <c r="V6" s="4"/>
    </row>
    <row r="7" spans="1:22" ht="17" outlineLevel="1">
      <c r="A7" s="4"/>
      <c r="B7" s="5"/>
      <c r="C7" s="5"/>
      <c r="F7" s="10"/>
      <c r="G7" s="2"/>
      <c r="H7" s="2"/>
      <c r="I7" s="2"/>
      <c r="J7" s="2"/>
      <c r="K7" s="2"/>
      <c r="L7" s="2"/>
      <c r="M7" s="2"/>
      <c r="N7" s="2"/>
      <c r="O7" s="2"/>
      <c r="P7" s="2"/>
      <c r="Q7" s="2"/>
      <c r="R7" s="2"/>
      <c r="S7" s="2"/>
      <c r="T7" s="2"/>
      <c r="U7" s="5"/>
      <c r="V7" s="4"/>
    </row>
    <row r="8" spans="1:22" outlineLevel="1">
      <c r="A8" s="4"/>
      <c r="B8" s="5"/>
      <c r="C8" s="5"/>
      <c r="D8" s="9"/>
      <c r="E8" s="9"/>
      <c r="F8" s="9"/>
      <c r="G8" s="5"/>
      <c r="H8" s="5"/>
      <c r="I8" s="5"/>
      <c r="J8" s="5"/>
      <c r="K8" s="5"/>
      <c r="L8" s="5"/>
      <c r="M8" s="5"/>
      <c r="N8" s="5"/>
      <c r="O8" s="5"/>
      <c r="P8" s="5"/>
      <c r="Q8" s="5"/>
      <c r="R8" s="5"/>
      <c r="S8" s="5"/>
      <c r="T8" s="5"/>
      <c r="U8" s="5"/>
      <c r="V8" s="4"/>
    </row>
    <row r="9" spans="1:22" outlineLevel="1">
      <c r="A9" s="4"/>
      <c r="B9" s="5"/>
      <c r="C9" s="5"/>
      <c r="D9" s="11" t="s">
        <v>28</v>
      </c>
      <c r="E9" s="11"/>
      <c r="F9" s="11"/>
      <c r="U9" s="5"/>
      <c r="V9" s="4"/>
    </row>
    <row r="10" spans="1:22" outlineLevel="1">
      <c r="A10" s="4"/>
      <c r="B10" s="5"/>
      <c r="C10" s="5"/>
      <c r="D10" s="11"/>
      <c r="E10" s="11"/>
      <c r="F10" s="27" t="s">
        <v>38</v>
      </c>
      <c r="U10" s="5"/>
      <c r="V10" s="4"/>
    </row>
    <row r="11" spans="1:22" outlineLevel="1">
      <c r="A11" s="4"/>
      <c r="B11" s="5"/>
      <c r="C11" s="5"/>
      <c r="D11" s="11"/>
      <c r="E11" s="11"/>
      <c r="F11" s="28" t="s">
        <v>41</v>
      </c>
      <c r="U11" s="5"/>
      <c r="V11" s="4"/>
    </row>
    <row r="12" spans="1:22" outlineLevel="1">
      <c r="A12" s="4"/>
      <c r="B12" s="5"/>
      <c r="C12" s="5"/>
      <c r="D12" s="11"/>
      <c r="E12" s="11"/>
      <c r="F12" s="28" t="s">
        <v>39</v>
      </c>
      <c r="U12" s="5"/>
      <c r="V12" s="4"/>
    </row>
    <row r="13" spans="1:22" outlineLevel="1">
      <c r="A13" s="4"/>
      <c r="B13" s="5"/>
      <c r="C13" s="5"/>
      <c r="D13" s="11"/>
      <c r="E13" s="11"/>
      <c r="F13" s="28" t="s">
        <v>40</v>
      </c>
      <c r="U13" s="5"/>
      <c r="V13" s="4"/>
    </row>
    <row r="14" spans="1:22" outlineLevel="1">
      <c r="A14" s="4"/>
      <c r="B14" s="5"/>
      <c r="C14" s="5"/>
      <c r="D14" s="11"/>
      <c r="E14" s="11"/>
      <c r="F14" s="11"/>
      <c r="U14" s="5"/>
      <c r="V14" s="4"/>
    </row>
    <row r="15" spans="1:22" outlineLevel="1">
      <c r="A15" s="4"/>
      <c r="B15" s="5"/>
      <c r="C15" s="5"/>
      <c r="D15" s="12" t="s">
        <v>5</v>
      </c>
      <c r="E15" s="12"/>
      <c r="F15" s="12"/>
      <c r="U15" s="5"/>
      <c r="V15" s="4"/>
    </row>
    <row r="16" spans="1:22" outlineLevel="1">
      <c r="A16" s="4"/>
      <c r="B16" s="5"/>
      <c r="C16" s="5"/>
      <c r="E16" s="12"/>
      <c r="F16" s="27" t="s">
        <v>29</v>
      </c>
      <c r="U16" s="5"/>
      <c r="V16" s="4"/>
    </row>
    <row r="17" spans="1:22" outlineLevel="1">
      <c r="A17" s="4"/>
      <c r="B17" s="5"/>
      <c r="C17" s="5"/>
      <c r="E17" s="12"/>
      <c r="F17" s="27" t="s">
        <v>33</v>
      </c>
      <c r="U17" s="5"/>
      <c r="V17" s="4"/>
    </row>
    <row r="18" spans="1:22" outlineLevel="1">
      <c r="A18" s="4"/>
      <c r="B18" s="5"/>
      <c r="C18" s="5"/>
      <c r="E18" s="12"/>
      <c r="F18" s="28" t="s">
        <v>30</v>
      </c>
      <c r="U18" s="5"/>
      <c r="V18" s="4"/>
    </row>
    <row r="19" spans="1:22" outlineLevel="1">
      <c r="A19" s="4"/>
      <c r="B19" s="5"/>
      <c r="C19" s="5"/>
      <c r="E19" s="12"/>
      <c r="F19" s="28" t="s">
        <v>31</v>
      </c>
      <c r="U19" s="5"/>
      <c r="V19" s="4"/>
    </row>
    <row r="20" spans="1:22" outlineLevel="1">
      <c r="A20" s="4"/>
      <c r="B20" s="5"/>
      <c r="C20" s="5"/>
      <c r="E20" s="12"/>
      <c r="F20" s="28" t="s">
        <v>32</v>
      </c>
      <c r="U20" s="5"/>
      <c r="V20" s="4"/>
    </row>
    <row r="21" spans="1:22" outlineLevel="1">
      <c r="A21" s="4"/>
      <c r="B21" s="5"/>
      <c r="C21" s="5"/>
      <c r="E21" s="12"/>
      <c r="F21" s="28"/>
      <c r="U21" s="5"/>
      <c r="V21" s="4"/>
    </row>
    <row r="22" spans="1:22" outlineLevel="1">
      <c r="A22" s="4"/>
      <c r="B22" s="5"/>
      <c r="C22" s="5"/>
      <c r="D22" t="s">
        <v>34</v>
      </c>
      <c r="E22" s="12"/>
      <c r="F22" s="28"/>
      <c r="U22" s="5"/>
      <c r="V22" s="4"/>
    </row>
    <row r="23" spans="1:22" outlineLevel="1">
      <c r="A23" s="4"/>
      <c r="B23" s="5"/>
      <c r="C23" s="5"/>
      <c r="E23" s="12"/>
      <c r="F23" s="27" t="s">
        <v>35</v>
      </c>
      <c r="U23" s="5"/>
      <c r="V23" s="4"/>
    </row>
    <row r="24" spans="1:22" outlineLevel="1">
      <c r="A24" s="4"/>
      <c r="B24" s="5"/>
      <c r="C24" s="5"/>
      <c r="E24" s="12"/>
      <c r="F24" s="28" t="s">
        <v>36</v>
      </c>
      <c r="U24" s="5"/>
      <c r="V24" s="4"/>
    </row>
    <row r="25" spans="1:22" outlineLevel="1">
      <c r="A25" s="4"/>
      <c r="B25" s="5"/>
      <c r="C25" s="5"/>
      <c r="E25" s="12"/>
      <c r="F25" s="28" t="s">
        <v>37</v>
      </c>
      <c r="U25" s="5"/>
      <c r="V25" s="4"/>
    </row>
    <row r="26" spans="1:22" outlineLevel="1">
      <c r="A26" s="4"/>
      <c r="B26" s="5"/>
      <c r="C26" s="5"/>
      <c r="E26" s="12"/>
      <c r="F26" s="28"/>
      <c r="U26" s="5"/>
      <c r="V26" s="4"/>
    </row>
    <row r="27" spans="1:22" outlineLevel="1">
      <c r="A27" s="4"/>
      <c r="B27" s="5"/>
      <c r="C27" s="5"/>
      <c r="D27" s="13" t="s">
        <v>3</v>
      </c>
      <c r="E27" s="13"/>
      <c r="F27" s="13"/>
      <c r="U27" s="5"/>
      <c r="V27" s="4"/>
    </row>
    <row r="28" spans="1:22" outlineLevel="1">
      <c r="A28" s="4"/>
      <c r="B28" s="5"/>
      <c r="C28" s="5"/>
      <c r="D28" s="11"/>
      <c r="E28" s="11"/>
      <c r="F28" s="27" t="s">
        <v>45</v>
      </c>
      <c r="U28" s="5"/>
      <c r="V28" s="4"/>
    </row>
    <row r="29" spans="1:22" outlineLevel="1">
      <c r="A29" s="4"/>
      <c r="B29" s="5"/>
      <c r="C29" s="5"/>
      <c r="D29" s="11"/>
      <c r="E29" s="11"/>
      <c r="F29" s="28" t="s">
        <v>42</v>
      </c>
      <c r="U29" s="5"/>
      <c r="V29" s="4"/>
    </row>
    <row r="30" spans="1:22" outlineLevel="1">
      <c r="A30" s="4"/>
      <c r="B30" s="5"/>
      <c r="C30" s="5"/>
      <c r="D30" s="11"/>
      <c r="E30" s="11"/>
      <c r="F30" s="28" t="s">
        <v>43</v>
      </c>
      <c r="U30" s="5"/>
      <c r="V30" s="4"/>
    </row>
    <row r="31" spans="1:22" outlineLevel="1">
      <c r="A31" s="4"/>
      <c r="B31" s="5"/>
      <c r="C31" s="5"/>
      <c r="D31" s="11"/>
      <c r="E31" s="11"/>
      <c r="F31" s="32" t="s">
        <v>44</v>
      </c>
      <c r="U31" s="5"/>
      <c r="V31" s="4"/>
    </row>
    <row r="32" spans="1:22" outlineLevel="1">
      <c r="A32" s="4"/>
      <c r="B32" s="5"/>
      <c r="C32" s="5"/>
      <c r="D32" s="11"/>
      <c r="E32" s="11"/>
      <c r="F32" s="30" t="s">
        <v>46</v>
      </c>
      <c r="U32" s="5"/>
      <c r="V32" s="4"/>
    </row>
    <row r="33" spans="1:22" outlineLevel="1">
      <c r="A33" s="4"/>
      <c r="B33" s="5"/>
      <c r="C33" s="5"/>
      <c r="D33" s="11"/>
      <c r="E33" s="11"/>
      <c r="F33" s="30"/>
      <c r="U33" s="5"/>
      <c r="V33" s="4"/>
    </row>
    <row r="34" spans="1:22" outlineLevel="1">
      <c r="A34" s="4"/>
      <c r="B34" s="5"/>
      <c r="C34" s="5"/>
      <c r="D34" s="13" t="s">
        <v>4</v>
      </c>
      <c r="E34" s="13"/>
      <c r="F34" s="13"/>
      <c r="U34" s="5"/>
      <c r="V34" s="4"/>
    </row>
    <row r="35" spans="1:22" outlineLevel="1">
      <c r="A35" s="4"/>
      <c r="B35" s="5"/>
      <c r="C35" s="5"/>
      <c r="D35" s="13"/>
      <c r="E35" s="13"/>
      <c r="F35" s="33" t="s">
        <v>48</v>
      </c>
      <c r="U35" s="5"/>
      <c r="V35" s="4"/>
    </row>
    <row r="36" spans="1:22" outlineLevel="1">
      <c r="A36" s="4"/>
      <c r="B36" s="5"/>
      <c r="C36" s="5"/>
      <c r="D36" s="13"/>
      <c r="E36" s="13"/>
      <c r="F36" s="33" t="s">
        <v>47</v>
      </c>
      <c r="U36" s="5"/>
      <c r="V36" s="4"/>
    </row>
    <row r="37" spans="1:22" outlineLevel="1">
      <c r="A37" s="4"/>
      <c r="B37" s="5"/>
      <c r="C37" s="5"/>
      <c r="D37" s="11"/>
      <c r="E37" s="11"/>
      <c r="F37" s="30" t="s">
        <v>46</v>
      </c>
      <c r="U37" s="5"/>
      <c r="V37" s="4"/>
    </row>
    <row r="38" spans="1:22" outlineLevel="1">
      <c r="A38" s="4"/>
      <c r="B38" s="5"/>
      <c r="C38" s="5"/>
      <c r="D38" s="11"/>
      <c r="E38" s="11"/>
      <c r="F38" s="30"/>
      <c r="U38" s="5"/>
      <c r="V38" s="4"/>
    </row>
    <row r="39" spans="1:22" outlineLevel="1">
      <c r="A39" s="4"/>
      <c r="B39" s="5"/>
      <c r="C39" s="5"/>
      <c r="D39" s="12" t="s">
        <v>1</v>
      </c>
      <c r="E39" s="12"/>
      <c r="F39" s="12"/>
      <c r="U39" s="5"/>
      <c r="V39" s="4"/>
    </row>
    <row r="40" spans="1:22" outlineLevel="1">
      <c r="A40" s="4"/>
      <c r="B40" s="5"/>
      <c r="C40" s="5"/>
      <c r="D40" s="12"/>
      <c r="E40" s="12"/>
      <c r="F40" s="34" t="s">
        <v>49</v>
      </c>
      <c r="U40" s="5"/>
      <c r="V40" s="4"/>
    </row>
    <row r="41" spans="1:22" outlineLevel="1">
      <c r="A41" s="4"/>
      <c r="B41" s="5"/>
      <c r="C41" s="5"/>
      <c r="D41" s="11"/>
      <c r="E41" s="11"/>
      <c r="F41" s="30" t="s">
        <v>50</v>
      </c>
      <c r="U41" s="5"/>
      <c r="V41" s="4"/>
    </row>
    <row r="42" spans="1:22" outlineLevel="1">
      <c r="A42" s="4"/>
      <c r="B42" s="5"/>
      <c r="C42" s="5"/>
      <c r="D42" s="12"/>
      <c r="E42" s="12"/>
      <c r="F42" s="12"/>
      <c r="U42" s="5"/>
      <c r="V42" s="4"/>
    </row>
    <row r="43" spans="1:22" outlineLevel="1">
      <c r="A43" s="4"/>
      <c r="B43" s="5"/>
      <c r="C43" s="5"/>
      <c r="D43" s="12" t="s">
        <v>60</v>
      </c>
      <c r="E43" s="12"/>
      <c r="F43" s="12"/>
      <c r="U43" s="5"/>
      <c r="V43" s="4"/>
    </row>
    <row r="44" spans="1:22" outlineLevel="1">
      <c r="A44" s="4"/>
      <c r="B44" s="5"/>
      <c r="C44" s="5"/>
      <c r="D44" s="12"/>
      <c r="E44" s="12"/>
      <c r="F44" s="34" t="s">
        <v>61</v>
      </c>
      <c r="U44" s="5"/>
      <c r="V44" s="4"/>
    </row>
    <row r="45" spans="1:22" outlineLevel="1">
      <c r="A45" s="4"/>
      <c r="B45" s="5"/>
      <c r="C45" s="5"/>
      <c r="D45" s="12"/>
      <c r="E45" s="12"/>
      <c r="F45" s="35" t="s">
        <v>62</v>
      </c>
      <c r="U45" s="5"/>
      <c r="V45" s="4"/>
    </row>
    <row r="46" spans="1:22" outlineLevel="1">
      <c r="A46" s="4"/>
      <c r="B46" s="5"/>
      <c r="C46" s="5"/>
      <c r="D46" s="12"/>
      <c r="E46" s="12"/>
      <c r="F46" s="35" t="s">
        <v>63</v>
      </c>
      <c r="U46" s="5"/>
      <c r="V46" s="4"/>
    </row>
    <row r="47" spans="1:22" outlineLevel="1">
      <c r="A47" s="4"/>
      <c r="B47" s="5"/>
      <c r="C47" s="5"/>
      <c r="D47" s="12"/>
      <c r="E47" s="12"/>
      <c r="F47" s="12"/>
      <c r="U47" s="5"/>
      <c r="V47" s="4"/>
    </row>
    <row r="48" spans="1:22" outlineLevel="1">
      <c r="A48" s="4"/>
      <c r="B48" s="5"/>
      <c r="C48" s="5"/>
      <c r="D48" s="12" t="s">
        <v>2</v>
      </c>
      <c r="E48" s="12"/>
      <c r="F48" s="12"/>
      <c r="U48" s="5"/>
      <c r="V48" s="4"/>
    </row>
    <row r="49" spans="1:22" outlineLevel="1">
      <c r="A49" s="4"/>
      <c r="B49" s="5"/>
      <c r="C49" s="5"/>
      <c r="D49" s="12"/>
      <c r="E49" s="12"/>
      <c r="F49" s="34" t="s">
        <v>55</v>
      </c>
      <c r="U49" s="5"/>
      <c r="V49" s="4"/>
    </row>
    <row r="50" spans="1:22" outlineLevel="1">
      <c r="A50" s="4"/>
      <c r="B50" s="5"/>
      <c r="C50" s="5"/>
      <c r="D50" s="12"/>
      <c r="E50" s="12"/>
      <c r="F50" s="35" t="s">
        <v>56</v>
      </c>
      <c r="U50" s="5"/>
      <c r="V50" s="4"/>
    </row>
    <row r="51" spans="1:22" outlineLevel="1">
      <c r="A51" s="4"/>
      <c r="B51" s="5"/>
      <c r="C51" s="5"/>
      <c r="D51" s="12"/>
      <c r="E51" s="12"/>
      <c r="F51" s="35" t="s">
        <v>57</v>
      </c>
      <c r="U51" s="5"/>
      <c r="V51" s="4"/>
    </row>
    <row r="52" spans="1:22" outlineLevel="1">
      <c r="A52" s="4"/>
      <c r="B52" s="5"/>
      <c r="C52" s="5"/>
      <c r="D52" s="12"/>
      <c r="E52" s="12"/>
      <c r="F52" s="12"/>
      <c r="U52" s="5"/>
      <c r="V52" s="4"/>
    </row>
    <row r="53" spans="1:22" outlineLevel="1">
      <c r="A53" s="4"/>
      <c r="B53" s="5"/>
      <c r="C53" s="5"/>
      <c r="D53" s="12" t="s">
        <v>51</v>
      </c>
      <c r="E53" s="12"/>
      <c r="F53" s="12"/>
      <c r="U53" s="5"/>
      <c r="V53" s="4"/>
    </row>
    <row r="54" spans="1:22" outlineLevel="1">
      <c r="A54" s="4"/>
      <c r="B54" s="5"/>
      <c r="C54" s="5"/>
      <c r="D54" s="12"/>
      <c r="E54" s="12"/>
      <c r="F54" s="34" t="s">
        <v>52</v>
      </c>
      <c r="U54" s="5"/>
      <c r="V54" s="4"/>
    </row>
    <row r="55" spans="1:22" outlineLevel="1">
      <c r="A55" s="4"/>
      <c r="B55" s="5"/>
      <c r="C55" s="5"/>
      <c r="D55" s="12"/>
      <c r="E55" s="12"/>
      <c r="F55" s="35" t="s">
        <v>53</v>
      </c>
      <c r="U55" s="5"/>
      <c r="V55" s="4"/>
    </row>
    <row r="56" spans="1:22" outlineLevel="1">
      <c r="A56" s="4"/>
      <c r="B56" s="5"/>
      <c r="C56" s="5"/>
      <c r="D56" s="12"/>
      <c r="E56" s="12"/>
      <c r="F56" s="35" t="s">
        <v>54</v>
      </c>
      <c r="U56" s="5"/>
      <c r="V56" s="4"/>
    </row>
    <row r="57" spans="1:22" outlineLevel="1">
      <c r="A57" s="4"/>
      <c r="B57" s="5"/>
      <c r="C57" s="5"/>
      <c r="D57" s="12"/>
      <c r="E57" s="12"/>
      <c r="F57" s="35" t="s">
        <v>83</v>
      </c>
      <c r="U57" s="5"/>
      <c r="V57" s="4"/>
    </row>
    <row r="58" spans="1:22" outlineLevel="1">
      <c r="A58" s="4"/>
      <c r="B58" s="5"/>
      <c r="C58" s="5"/>
      <c r="D58" s="12"/>
      <c r="E58" s="12"/>
      <c r="F58" s="31"/>
      <c r="U58" s="5"/>
      <c r="V58" s="4"/>
    </row>
    <row r="59" spans="1:22">
      <c r="A59" s="4"/>
      <c r="B59" s="5"/>
      <c r="C59" s="5"/>
      <c r="D59" s="9"/>
      <c r="E59" s="9"/>
      <c r="F59" s="9"/>
      <c r="G59" s="5"/>
      <c r="H59" s="5"/>
      <c r="I59" s="5"/>
      <c r="J59" s="5"/>
      <c r="K59" s="5"/>
      <c r="L59" s="5"/>
      <c r="M59" s="5"/>
      <c r="N59" s="5"/>
      <c r="O59" s="5"/>
      <c r="P59" s="5"/>
      <c r="Q59" s="5"/>
      <c r="R59" s="5"/>
      <c r="S59" s="5"/>
      <c r="T59" s="5"/>
      <c r="U59" s="5"/>
      <c r="V59" s="4"/>
    </row>
    <row r="60" spans="1:22">
      <c r="A60" s="4"/>
      <c r="B60" s="4"/>
      <c r="C60" s="4"/>
      <c r="D60" s="8"/>
      <c r="E60" s="8"/>
      <c r="F60" s="8"/>
      <c r="G60" s="4"/>
      <c r="H60" s="4"/>
      <c r="I60" s="4"/>
      <c r="J60" s="4"/>
      <c r="K60" s="4"/>
      <c r="L60" s="4"/>
      <c r="M60" s="4"/>
      <c r="N60" s="4"/>
      <c r="O60" s="4"/>
      <c r="P60" s="4"/>
      <c r="Q60" s="4"/>
      <c r="R60" s="4"/>
      <c r="S60" s="4"/>
      <c r="T60" s="4"/>
      <c r="U60" s="4"/>
      <c r="V60" s="4"/>
    </row>
    <row r="61" spans="1:22">
      <c r="A61" s="4"/>
      <c r="B61" s="5"/>
      <c r="C61" s="5"/>
      <c r="D61" s="9"/>
      <c r="E61" s="9"/>
      <c r="F61" s="9"/>
      <c r="G61" s="5"/>
      <c r="H61" s="5"/>
      <c r="I61" s="5"/>
      <c r="J61" s="5"/>
      <c r="K61" s="5"/>
      <c r="L61" s="5"/>
      <c r="M61" s="5"/>
      <c r="N61" s="5"/>
      <c r="O61" s="5"/>
      <c r="P61" s="5"/>
      <c r="Q61" s="5"/>
      <c r="R61" s="5"/>
      <c r="S61" s="5"/>
      <c r="T61" s="5"/>
      <c r="U61" s="5"/>
      <c r="V61" s="4"/>
    </row>
    <row r="62" spans="1:22" ht="17" customHeight="1">
      <c r="A62" s="4"/>
      <c r="B62" s="5"/>
      <c r="C62" s="5"/>
      <c r="D62" s="10" t="s">
        <v>6</v>
      </c>
      <c r="E62" s="10"/>
      <c r="F62" s="10"/>
      <c r="G62" s="18" t="s">
        <v>82</v>
      </c>
      <c r="U62" s="5"/>
      <c r="V62" s="4"/>
    </row>
    <row r="63" spans="1:22" ht="14.5" customHeight="1" outlineLevel="1">
      <c r="A63" s="4"/>
      <c r="B63" s="5"/>
      <c r="C63" s="5"/>
      <c r="H63" s="6"/>
      <c r="I63" s="6"/>
      <c r="J63" s="6"/>
      <c r="K63" s="6"/>
      <c r="L63" s="6"/>
      <c r="M63" s="6"/>
      <c r="N63" s="6"/>
      <c r="O63" s="6"/>
      <c r="P63" s="6"/>
      <c r="Q63" s="6"/>
      <c r="R63" s="6"/>
      <c r="S63" s="6"/>
      <c r="T63" s="6"/>
      <c r="U63" s="5"/>
      <c r="V63" s="4"/>
    </row>
    <row r="64" spans="1:22" ht="14.5" customHeight="1" outlineLevel="1">
      <c r="A64" s="4"/>
      <c r="B64" s="5"/>
      <c r="C64" s="5"/>
      <c r="D64" s="6"/>
      <c r="E64" s="6"/>
      <c r="F64" s="6"/>
      <c r="G64" s="6"/>
      <c r="H64" s="6"/>
      <c r="I64" s="6"/>
      <c r="J64" s="6"/>
      <c r="K64" s="6"/>
      <c r="L64" s="6"/>
      <c r="M64" s="6"/>
      <c r="N64" s="6"/>
      <c r="O64" s="6"/>
      <c r="P64" s="6"/>
      <c r="Q64" s="6"/>
      <c r="R64" s="6"/>
      <c r="S64" s="6"/>
      <c r="T64" s="6"/>
      <c r="U64" s="5"/>
      <c r="V64" s="4"/>
    </row>
    <row r="65" spans="1:22" outlineLevel="1">
      <c r="A65" s="4"/>
      <c r="B65" s="5"/>
      <c r="C65" s="5"/>
      <c r="D65" s="14"/>
      <c r="E65" s="17"/>
      <c r="F65" s="14"/>
      <c r="G65" s="3"/>
      <c r="H65" s="3"/>
      <c r="I65" s="3"/>
      <c r="J65" s="3"/>
      <c r="K65" s="3"/>
      <c r="L65" s="3"/>
      <c r="M65" s="3"/>
      <c r="N65" s="3"/>
      <c r="O65" s="3"/>
      <c r="P65" s="3"/>
      <c r="Q65" s="3"/>
      <c r="R65" s="3"/>
      <c r="S65" s="14"/>
      <c r="T65" s="14"/>
      <c r="U65" s="5"/>
      <c r="V65" s="4"/>
    </row>
    <row r="66" spans="1:22" outlineLevel="1">
      <c r="A66" s="4"/>
      <c r="B66" s="5"/>
      <c r="C66" s="5"/>
      <c r="D66" s="14"/>
      <c r="E66" s="15"/>
      <c r="F66" s="15" t="s">
        <v>188</v>
      </c>
      <c r="G66" s="7"/>
      <c r="H66" s="7"/>
      <c r="I66" s="7"/>
      <c r="J66" s="7"/>
      <c r="K66" s="7"/>
      <c r="L66" s="7"/>
      <c r="M66" s="7"/>
      <c r="N66" s="7"/>
      <c r="O66" s="7"/>
      <c r="P66" s="7"/>
      <c r="Q66" s="7"/>
      <c r="R66" s="7"/>
      <c r="S66" s="7"/>
      <c r="T66" s="14"/>
      <c r="U66" s="5"/>
      <c r="V66" s="4"/>
    </row>
    <row r="67" spans="1:22" ht="14.5" customHeight="1" outlineLevel="2">
      <c r="A67" s="4"/>
      <c r="B67" s="5"/>
      <c r="C67" s="5"/>
      <c r="D67" s="14"/>
      <c r="E67" s="7"/>
      <c r="F67" s="73"/>
      <c r="G67" s="74"/>
      <c r="H67" s="74"/>
      <c r="I67" s="74"/>
      <c r="J67" s="74"/>
      <c r="K67" s="74"/>
      <c r="L67" s="74"/>
      <c r="M67" s="74"/>
      <c r="N67" s="74"/>
      <c r="O67" s="74"/>
      <c r="P67" s="74"/>
      <c r="Q67" s="74"/>
      <c r="R67" s="16"/>
      <c r="S67" s="7"/>
      <c r="T67" s="14"/>
      <c r="U67" s="5"/>
      <c r="V67" s="4"/>
    </row>
    <row r="68" spans="1:22" outlineLevel="2">
      <c r="A68" s="4"/>
      <c r="B68" s="5"/>
      <c r="C68" s="5"/>
      <c r="D68" s="14"/>
      <c r="E68" s="7"/>
      <c r="F68" s="75"/>
      <c r="G68" s="23" t="s">
        <v>189</v>
      </c>
      <c r="J68" s="74"/>
      <c r="K68" s="76"/>
      <c r="L68" s="74"/>
      <c r="M68" s="74"/>
      <c r="N68" s="74"/>
      <c r="O68" s="74"/>
      <c r="P68" s="74"/>
      <c r="Q68" s="74"/>
      <c r="R68" s="16"/>
      <c r="S68" s="7"/>
      <c r="T68" s="14"/>
      <c r="U68" s="5"/>
      <c r="V68" s="4"/>
    </row>
    <row r="69" spans="1:22" outlineLevel="2">
      <c r="A69" s="4"/>
      <c r="B69" s="5"/>
      <c r="C69" s="5"/>
      <c r="D69" s="14"/>
      <c r="E69" s="7"/>
      <c r="F69" s="51"/>
      <c r="G69" t="s">
        <v>191</v>
      </c>
      <c r="H69" s="51"/>
      <c r="I69" s="51"/>
      <c r="J69" s="74"/>
      <c r="K69" s="74"/>
      <c r="L69" s="74"/>
      <c r="M69" s="74"/>
      <c r="N69" s="74"/>
      <c r="O69" s="74"/>
      <c r="P69" s="74"/>
      <c r="Q69" s="74"/>
      <c r="R69" s="16"/>
      <c r="S69" s="7"/>
      <c r="T69" s="14"/>
      <c r="U69" s="5"/>
      <c r="V69" s="4"/>
    </row>
    <row r="70" spans="1:22" ht="14.5" customHeight="1" outlineLevel="2">
      <c r="A70" s="4"/>
      <c r="B70" s="5"/>
      <c r="C70" s="5"/>
      <c r="D70" s="14"/>
      <c r="E70" s="7"/>
      <c r="F70" s="51"/>
      <c r="G70" s="63" t="s">
        <v>192</v>
      </c>
      <c r="H70" s="77"/>
      <c r="I70" s="51"/>
      <c r="J70" s="74"/>
      <c r="K70" s="74"/>
      <c r="L70" s="74"/>
      <c r="M70" s="74"/>
      <c r="N70" s="74"/>
      <c r="O70" s="74"/>
      <c r="P70" s="74"/>
      <c r="Q70" s="74"/>
      <c r="R70" s="16"/>
      <c r="S70" s="7"/>
      <c r="T70" s="14"/>
      <c r="U70" s="5"/>
      <c r="V70" s="4"/>
    </row>
    <row r="71" spans="1:22" ht="14.5" customHeight="1" outlineLevel="2">
      <c r="A71" s="4"/>
      <c r="B71" s="5"/>
      <c r="C71" s="5"/>
      <c r="D71" s="14"/>
      <c r="E71" s="7"/>
      <c r="F71" s="53"/>
      <c r="G71" t="s">
        <v>197</v>
      </c>
      <c r="H71" s="77"/>
      <c r="I71" s="51"/>
      <c r="J71" s="74"/>
      <c r="K71" s="74"/>
      <c r="L71" s="74"/>
      <c r="M71" s="74"/>
      <c r="N71" s="74"/>
      <c r="O71" s="74"/>
      <c r="P71" s="74"/>
      <c r="Q71" s="74"/>
      <c r="R71" s="16"/>
      <c r="S71" s="7"/>
      <c r="T71" s="14"/>
      <c r="U71" s="5"/>
      <c r="V71" s="4"/>
    </row>
    <row r="72" spans="1:22" ht="14.5" customHeight="1" outlineLevel="2">
      <c r="A72" s="4"/>
      <c r="B72" s="5"/>
      <c r="C72" s="5"/>
      <c r="D72" s="14"/>
      <c r="E72" s="7"/>
      <c r="F72" s="53"/>
      <c r="H72" s="77"/>
      <c r="I72" s="51"/>
      <c r="J72" s="74"/>
      <c r="K72" s="74"/>
      <c r="L72" s="74"/>
      <c r="M72" s="74"/>
      <c r="N72" s="74"/>
      <c r="O72" s="74"/>
      <c r="P72" s="74"/>
      <c r="Q72" s="74"/>
      <c r="R72" s="16"/>
      <c r="S72" s="7"/>
      <c r="T72" s="14"/>
      <c r="U72" s="5"/>
      <c r="V72" s="4"/>
    </row>
    <row r="73" spans="1:22" ht="14.5" customHeight="1" outlineLevel="2">
      <c r="A73" s="4"/>
      <c r="B73" s="5"/>
      <c r="C73" s="5"/>
      <c r="D73" s="14"/>
      <c r="E73" s="7"/>
      <c r="F73" s="53"/>
      <c r="G73" s="23" t="s">
        <v>190</v>
      </c>
      <c r="H73" s="77"/>
      <c r="I73" s="51"/>
      <c r="J73" s="74"/>
      <c r="K73" s="74"/>
      <c r="L73" s="74"/>
      <c r="M73" s="74"/>
      <c r="N73" s="74"/>
      <c r="O73" s="74"/>
      <c r="P73" s="74"/>
      <c r="Q73" s="74"/>
      <c r="R73" s="16"/>
      <c r="S73" s="7"/>
      <c r="T73" s="14"/>
      <c r="U73" s="5"/>
      <c r="V73" s="4"/>
    </row>
    <row r="74" spans="1:22" ht="14.5" customHeight="1" outlineLevel="2">
      <c r="A74" s="4"/>
      <c r="B74" s="5"/>
      <c r="C74" s="5"/>
      <c r="D74" s="14"/>
      <c r="E74" s="7"/>
      <c r="F74" s="53"/>
      <c r="G74" t="s">
        <v>193</v>
      </c>
      <c r="H74" s="77"/>
      <c r="I74" s="51"/>
      <c r="J74" s="74"/>
      <c r="K74" s="74"/>
      <c r="L74" s="74"/>
      <c r="M74" s="74"/>
      <c r="N74" s="74"/>
      <c r="O74" s="74"/>
      <c r="P74" s="74"/>
      <c r="Q74" s="74"/>
      <c r="R74" s="16"/>
      <c r="S74" s="7"/>
      <c r="T74" s="14"/>
      <c r="U74" s="5"/>
      <c r="V74" s="4"/>
    </row>
    <row r="75" spans="1:22" ht="14.5" customHeight="1" outlineLevel="2">
      <c r="A75" s="4"/>
      <c r="B75" s="5"/>
      <c r="C75" s="5"/>
      <c r="D75" s="14"/>
      <c r="E75" s="7"/>
      <c r="F75" s="51"/>
      <c r="G75" t="s">
        <v>194</v>
      </c>
      <c r="H75" s="77"/>
      <c r="I75" s="51"/>
      <c r="J75" s="76"/>
      <c r="K75" s="74"/>
      <c r="L75" s="74"/>
      <c r="M75" s="78"/>
      <c r="N75" s="79"/>
      <c r="O75" s="79"/>
      <c r="P75" s="79"/>
      <c r="Q75" s="79"/>
      <c r="R75" s="16"/>
      <c r="S75" s="7"/>
      <c r="T75" s="14"/>
      <c r="U75" s="5"/>
      <c r="V75" s="4"/>
    </row>
    <row r="76" spans="1:22" ht="14.5" customHeight="1" outlineLevel="2">
      <c r="A76" s="4"/>
      <c r="B76" s="5"/>
      <c r="C76" s="5"/>
      <c r="D76" s="14"/>
      <c r="E76" s="7"/>
      <c r="F76" s="51"/>
      <c r="G76" s="177" t="e" vm="1">
        <v>#VALUE!</v>
      </c>
      <c r="H76" s="177"/>
      <c r="I76" s="177"/>
      <c r="J76" s="177"/>
      <c r="K76" s="177"/>
      <c r="L76" s="177"/>
      <c r="M76" s="177"/>
      <c r="N76" s="80"/>
      <c r="O76" s="80"/>
      <c r="P76" s="80"/>
      <c r="Q76" s="80"/>
      <c r="R76" s="16"/>
      <c r="S76" s="7"/>
      <c r="T76" s="14"/>
      <c r="U76" s="5"/>
      <c r="V76" s="4"/>
    </row>
    <row r="77" spans="1:22" ht="14.5" customHeight="1" outlineLevel="2">
      <c r="A77" s="4"/>
      <c r="B77" s="5"/>
      <c r="C77" s="5"/>
      <c r="D77" s="14"/>
      <c r="E77" s="7"/>
      <c r="F77" s="53"/>
      <c r="G77" s="177"/>
      <c r="H77" s="177"/>
      <c r="I77" s="177"/>
      <c r="J77" s="177"/>
      <c r="K77" s="177"/>
      <c r="L77" s="177"/>
      <c r="M77" s="177"/>
      <c r="N77" s="80"/>
      <c r="O77" s="80"/>
      <c r="P77" s="80"/>
      <c r="Q77" s="80"/>
      <c r="R77" s="16"/>
      <c r="S77" s="7"/>
      <c r="T77" s="14"/>
      <c r="U77" s="5"/>
      <c r="V77" s="4"/>
    </row>
    <row r="78" spans="1:22" ht="14.5" customHeight="1" outlineLevel="2">
      <c r="A78" s="4"/>
      <c r="B78" s="5"/>
      <c r="C78" s="5"/>
      <c r="D78" s="14"/>
      <c r="E78" s="7"/>
      <c r="F78" s="53"/>
      <c r="G78" s="177"/>
      <c r="H78" s="177"/>
      <c r="I78" s="177"/>
      <c r="J78" s="177"/>
      <c r="K78" s="177"/>
      <c r="L78" s="177"/>
      <c r="M78" s="177"/>
      <c r="N78" s="81"/>
      <c r="O78" s="81"/>
      <c r="P78" s="81"/>
      <c r="Q78" s="81"/>
      <c r="R78" s="16"/>
      <c r="S78" s="7"/>
      <c r="T78" s="14"/>
      <c r="U78" s="5"/>
      <c r="V78" s="4"/>
    </row>
    <row r="79" spans="1:22" ht="14.5" customHeight="1" outlineLevel="2">
      <c r="A79" s="4"/>
      <c r="B79" s="5"/>
      <c r="C79" s="5"/>
      <c r="D79" s="14"/>
      <c r="E79" s="7"/>
      <c r="F79" s="53"/>
      <c r="G79" s="177"/>
      <c r="H79" s="177"/>
      <c r="I79" s="177"/>
      <c r="J79" s="177"/>
      <c r="K79" s="177"/>
      <c r="L79" s="177"/>
      <c r="M79" s="177"/>
      <c r="R79" s="16"/>
      <c r="S79" s="7"/>
      <c r="T79" s="14"/>
      <c r="U79" s="5"/>
      <c r="V79" s="4"/>
    </row>
    <row r="80" spans="1:22" ht="14.5" customHeight="1" outlineLevel="2">
      <c r="A80" s="4"/>
      <c r="B80" s="5"/>
      <c r="C80" s="5"/>
      <c r="D80" s="14"/>
      <c r="E80" s="7"/>
      <c r="F80" s="51"/>
      <c r="G80" s="177"/>
      <c r="H80" s="177"/>
      <c r="I80" s="177"/>
      <c r="J80" s="177"/>
      <c r="K80" s="177"/>
      <c r="L80" s="177"/>
      <c r="M80" s="177"/>
      <c r="N80" s="74"/>
      <c r="O80" s="74"/>
      <c r="P80" s="74"/>
      <c r="Q80" s="74"/>
      <c r="R80" s="16"/>
      <c r="S80" s="7"/>
      <c r="T80" s="14"/>
      <c r="U80" s="5"/>
      <c r="V80" s="4"/>
    </row>
    <row r="81" spans="1:22" ht="14.5" customHeight="1" outlineLevel="2">
      <c r="A81" s="4"/>
      <c r="B81" s="5"/>
      <c r="C81" s="5"/>
      <c r="D81" s="14"/>
      <c r="E81" s="7"/>
      <c r="F81" s="53"/>
      <c r="G81" s="177"/>
      <c r="H81" s="177"/>
      <c r="I81" s="177"/>
      <c r="J81" s="177"/>
      <c r="K81" s="177"/>
      <c r="L81" s="177"/>
      <c r="M81" s="177"/>
      <c r="N81" s="74"/>
      <c r="O81" s="74"/>
      <c r="P81" s="74"/>
      <c r="Q81" s="74"/>
      <c r="R81" s="16"/>
      <c r="S81" s="7"/>
      <c r="T81" s="14"/>
      <c r="U81" s="5"/>
      <c r="V81" s="4"/>
    </row>
    <row r="82" spans="1:22" ht="14.5" customHeight="1" outlineLevel="2">
      <c r="A82" s="4"/>
      <c r="B82" s="5"/>
      <c r="C82" s="5"/>
      <c r="D82" s="14"/>
      <c r="E82" s="7"/>
      <c r="F82" s="53"/>
      <c r="G82" s="177"/>
      <c r="H82" s="177"/>
      <c r="I82" s="177"/>
      <c r="J82" s="177"/>
      <c r="K82" s="177"/>
      <c r="L82" s="177"/>
      <c r="M82" s="177"/>
      <c r="N82" s="74"/>
      <c r="O82" s="74"/>
      <c r="P82" s="74"/>
      <c r="Q82" s="74"/>
      <c r="R82" s="16"/>
      <c r="S82" s="7"/>
      <c r="T82" s="14"/>
      <c r="U82" s="5"/>
      <c r="V82" s="4"/>
    </row>
    <row r="83" spans="1:22" ht="14.5" customHeight="1" outlineLevel="2">
      <c r="A83" s="4"/>
      <c r="B83" s="5"/>
      <c r="C83" s="5"/>
      <c r="D83" s="14"/>
      <c r="E83" s="7"/>
      <c r="F83" s="51"/>
      <c r="G83" s="177"/>
      <c r="H83" s="177"/>
      <c r="I83" s="177"/>
      <c r="J83" s="177"/>
      <c r="K83" s="177"/>
      <c r="L83" s="177"/>
      <c r="M83" s="177"/>
      <c r="N83" s="74"/>
      <c r="O83" s="74"/>
      <c r="P83" s="74"/>
      <c r="Q83" s="74"/>
      <c r="R83" s="16"/>
      <c r="S83" s="7"/>
      <c r="T83" s="14"/>
      <c r="U83" s="5"/>
      <c r="V83" s="4"/>
    </row>
    <row r="84" spans="1:22" ht="14.5" customHeight="1" outlineLevel="2">
      <c r="A84" s="4"/>
      <c r="B84" s="5"/>
      <c r="C84" s="5"/>
      <c r="D84" s="14"/>
      <c r="E84" s="7"/>
      <c r="F84" s="53"/>
      <c r="G84" s="177"/>
      <c r="H84" s="177"/>
      <c r="I84" s="177"/>
      <c r="J84" s="177"/>
      <c r="K84" s="177"/>
      <c r="L84" s="177"/>
      <c r="M84" s="177"/>
      <c r="N84" s="74"/>
      <c r="O84" s="74"/>
      <c r="P84" s="74"/>
      <c r="Q84" s="74"/>
      <c r="R84" s="16"/>
      <c r="S84" s="7"/>
      <c r="T84" s="14"/>
      <c r="U84" s="5"/>
      <c r="V84" s="4"/>
    </row>
    <row r="85" spans="1:22" ht="14.5" customHeight="1" outlineLevel="2">
      <c r="A85" s="4"/>
      <c r="B85" s="5"/>
      <c r="C85" s="5"/>
      <c r="D85" s="14"/>
      <c r="E85" s="7"/>
      <c r="F85" s="53"/>
      <c r="G85" s="177"/>
      <c r="H85" s="177"/>
      <c r="I85" s="177"/>
      <c r="J85" s="177"/>
      <c r="K85" s="177"/>
      <c r="L85" s="177"/>
      <c r="M85" s="177"/>
      <c r="N85" s="16"/>
      <c r="O85" s="16"/>
      <c r="P85" s="16"/>
      <c r="Q85" s="16"/>
      <c r="R85" s="16"/>
      <c r="S85" s="7"/>
      <c r="T85" s="14"/>
      <c r="U85" s="5"/>
      <c r="V85" s="4"/>
    </row>
    <row r="86" spans="1:22" ht="14.5" customHeight="1" outlineLevel="2">
      <c r="A86" s="4"/>
      <c r="B86" s="5"/>
      <c r="C86" s="5"/>
      <c r="D86" s="14"/>
      <c r="E86" s="7"/>
      <c r="F86" s="51"/>
      <c r="G86" s="177"/>
      <c r="H86" s="177"/>
      <c r="I86" s="177"/>
      <c r="J86" s="177"/>
      <c r="K86" s="177"/>
      <c r="L86" s="177"/>
      <c r="M86" s="177"/>
      <c r="N86" s="16"/>
      <c r="O86" s="16"/>
      <c r="P86" s="16"/>
      <c r="Q86" s="16"/>
      <c r="R86" s="16"/>
      <c r="S86" s="7"/>
      <c r="T86" s="14"/>
      <c r="U86" s="5"/>
      <c r="V86" s="4"/>
    </row>
    <row r="87" spans="1:22" ht="14.5" customHeight="1" outlineLevel="2">
      <c r="A87" s="4"/>
      <c r="B87" s="5"/>
      <c r="C87" s="5"/>
      <c r="D87" s="14"/>
      <c r="E87" s="7"/>
      <c r="F87" s="51"/>
      <c r="G87" s="177"/>
      <c r="H87" s="177"/>
      <c r="I87" s="177"/>
      <c r="J87" s="177"/>
      <c r="K87" s="177"/>
      <c r="L87" s="177"/>
      <c r="M87" s="177"/>
      <c r="N87" s="16"/>
      <c r="O87" s="16"/>
      <c r="P87" s="16"/>
      <c r="Q87" s="16"/>
      <c r="R87" s="16"/>
      <c r="S87" s="7"/>
      <c r="T87" s="14"/>
      <c r="U87" s="5"/>
      <c r="V87" s="4"/>
    </row>
    <row r="88" spans="1:22" ht="14.5" customHeight="1" outlineLevel="2">
      <c r="A88" s="4"/>
      <c r="B88" s="5"/>
      <c r="C88" s="5"/>
      <c r="D88" s="14"/>
      <c r="E88" s="7"/>
      <c r="F88" s="51"/>
      <c r="G88" s="177"/>
      <c r="H88" s="177"/>
      <c r="I88" s="177"/>
      <c r="J88" s="177"/>
      <c r="K88" s="177"/>
      <c r="L88" s="177"/>
      <c r="M88" s="177"/>
      <c r="N88" s="16"/>
      <c r="O88" s="16"/>
      <c r="P88" s="16"/>
      <c r="Q88" s="16"/>
      <c r="R88" s="16"/>
      <c r="S88" s="7"/>
      <c r="T88" s="14"/>
      <c r="U88" s="5"/>
      <c r="V88" s="4"/>
    </row>
    <row r="89" spans="1:22" ht="14.5" customHeight="1" outlineLevel="2">
      <c r="A89" s="4"/>
      <c r="B89" s="5"/>
      <c r="C89" s="5"/>
      <c r="D89" s="14"/>
      <c r="E89" s="7"/>
      <c r="F89" s="51"/>
      <c r="G89" s="177"/>
      <c r="H89" s="177"/>
      <c r="I89" s="177"/>
      <c r="J89" s="177"/>
      <c r="K89" s="177"/>
      <c r="L89" s="177"/>
      <c r="M89" s="177"/>
      <c r="O89" s="16"/>
      <c r="P89" s="16"/>
      <c r="Q89" s="16"/>
      <c r="R89" s="16"/>
      <c r="S89" s="7"/>
      <c r="T89" s="14"/>
      <c r="U89" s="5"/>
      <c r="V89" s="4"/>
    </row>
    <row r="90" spans="1:22" ht="14.5" customHeight="1" outlineLevel="2">
      <c r="A90" s="4"/>
      <c r="B90" s="5"/>
      <c r="C90" s="5"/>
      <c r="D90" s="14"/>
      <c r="E90" s="7"/>
      <c r="F90" s="51"/>
      <c r="G90" s="177"/>
      <c r="H90" s="177"/>
      <c r="I90" s="177"/>
      <c r="J90" s="177"/>
      <c r="K90" s="177"/>
      <c r="L90" s="177"/>
      <c r="M90" s="177"/>
      <c r="N90" s="16"/>
      <c r="O90" s="16"/>
      <c r="P90" s="16"/>
      <c r="Q90" s="16"/>
      <c r="R90" s="16"/>
      <c r="S90" s="7"/>
      <c r="T90" s="14"/>
      <c r="U90" s="5"/>
      <c r="V90" s="4"/>
    </row>
    <row r="91" spans="1:22" ht="14.5" customHeight="1" outlineLevel="2">
      <c r="A91" s="4"/>
      <c r="B91" s="5"/>
      <c r="C91" s="5"/>
      <c r="D91" s="14"/>
      <c r="E91" s="7"/>
      <c r="F91" s="51"/>
      <c r="G91" s="177"/>
      <c r="H91" s="177"/>
      <c r="I91" s="177"/>
      <c r="J91" s="177"/>
      <c r="K91" s="177"/>
      <c r="L91" s="177"/>
      <c r="M91" s="177"/>
      <c r="N91" s="16"/>
      <c r="O91" s="16"/>
      <c r="P91" s="16"/>
      <c r="Q91" s="16"/>
      <c r="R91" s="16"/>
      <c r="S91" s="7"/>
      <c r="T91" s="14"/>
      <c r="U91" s="5"/>
      <c r="V91" s="4"/>
    </row>
    <row r="92" spans="1:22" ht="14.5" customHeight="1" outlineLevel="2">
      <c r="A92" s="4"/>
      <c r="B92" s="5"/>
      <c r="C92" s="5"/>
      <c r="D92" s="14"/>
      <c r="E92" s="7"/>
      <c r="F92" s="51"/>
      <c r="G92" s="177"/>
      <c r="H92" s="177"/>
      <c r="I92" s="177"/>
      <c r="J92" s="177"/>
      <c r="K92" s="177"/>
      <c r="L92" s="177"/>
      <c r="M92" s="177"/>
      <c r="N92" s="16"/>
      <c r="O92" s="16"/>
      <c r="P92" s="16"/>
      <c r="Q92" s="16"/>
      <c r="R92" s="16"/>
      <c r="S92" s="7"/>
      <c r="T92" s="14"/>
      <c r="U92" s="5"/>
      <c r="V92" s="4"/>
    </row>
    <row r="93" spans="1:22" ht="14.5" customHeight="1" outlineLevel="2">
      <c r="A93" s="4"/>
      <c r="B93" s="5"/>
      <c r="C93" s="5"/>
      <c r="D93" s="14"/>
      <c r="E93" s="7"/>
      <c r="F93" s="50"/>
      <c r="G93" s="16"/>
      <c r="H93" s="16"/>
      <c r="I93" s="16"/>
      <c r="J93" s="16"/>
      <c r="K93" s="16"/>
      <c r="L93" s="16"/>
      <c r="M93" s="16"/>
      <c r="N93" s="16"/>
      <c r="O93" s="16"/>
      <c r="P93" s="16"/>
      <c r="Q93" s="16"/>
      <c r="R93" s="16"/>
      <c r="S93" s="7"/>
      <c r="T93" s="14"/>
      <c r="U93" s="5"/>
      <c r="V93" s="4"/>
    </row>
    <row r="94" spans="1:22" outlineLevel="1">
      <c r="A94" s="4"/>
      <c r="B94" s="5"/>
      <c r="C94" s="5"/>
      <c r="D94" s="14"/>
      <c r="E94" s="15"/>
      <c r="F94" s="15" t="s">
        <v>199</v>
      </c>
      <c r="G94" s="7"/>
      <c r="H94" s="7"/>
      <c r="I94" s="7"/>
      <c r="J94" s="7"/>
      <c r="K94" s="7"/>
      <c r="L94" s="7"/>
      <c r="M94" s="7"/>
      <c r="N94" s="7"/>
      <c r="O94" s="7"/>
      <c r="P94" s="7"/>
      <c r="Q94" s="7"/>
      <c r="R94" s="7"/>
      <c r="S94" s="7"/>
      <c r="T94" s="14"/>
      <c r="U94" s="5"/>
      <c r="V94" s="4"/>
    </row>
    <row r="95" spans="1:22" ht="14.5" customHeight="1" outlineLevel="2">
      <c r="A95" s="4"/>
      <c r="B95" s="5"/>
      <c r="C95" s="5"/>
      <c r="D95" s="14"/>
      <c r="E95" s="7"/>
      <c r="F95" s="52" t="s">
        <v>123</v>
      </c>
      <c r="G95" s="16"/>
      <c r="H95" s="16"/>
      <c r="I95" s="16"/>
      <c r="J95" s="16"/>
      <c r="K95" s="16"/>
      <c r="L95" s="16"/>
      <c r="M95" s="16"/>
      <c r="N95" s="7"/>
      <c r="O95" s="101" t="s">
        <v>198</v>
      </c>
      <c r="P95" s="16"/>
      <c r="Q95" s="16"/>
      <c r="R95" s="16"/>
      <c r="S95" s="7"/>
      <c r="T95" s="14"/>
      <c r="U95" s="5"/>
      <c r="V95" s="4"/>
    </row>
    <row r="96" spans="1:22" outlineLevel="2">
      <c r="A96" s="4"/>
      <c r="B96" s="5"/>
      <c r="C96" s="5"/>
      <c r="D96" s="14"/>
      <c r="E96" s="7"/>
      <c r="F96" s="50"/>
      <c r="J96" s="16"/>
      <c r="K96" s="18"/>
      <c r="L96" s="16"/>
      <c r="M96" s="16"/>
      <c r="N96" s="7"/>
      <c r="O96" s="16"/>
      <c r="P96" s="16"/>
      <c r="Q96" s="16"/>
      <c r="R96" s="16"/>
      <c r="S96" s="7"/>
      <c r="T96" s="14"/>
      <c r="U96" s="5"/>
      <c r="V96" s="4"/>
    </row>
    <row r="97" spans="1:22" outlineLevel="2">
      <c r="A97" s="4"/>
      <c r="B97" s="5"/>
      <c r="C97" s="5"/>
      <c r="D97" s="14"/>
      <c r="E97" s="7"/>
      <c r="F97" s="55" t="s">
        <v>124</v>
      </c>
      <c r="G97" s="55" t="s">
        <v>125</v>
      </c>
      <c r="H97" s="55" t="s">
        <v>121</v>
      </c>
      <c r="I97" s="55" t="s">
        <v>122</v>
      </c>
      <c r="J97" s="16"/>
      <c r="L97" s="16"/>
      <c r="M97" s="16"/>
      <c r="N97" s="7"/>
      <c r="P97" s="16"/>
      <c r="Q97" s="16"/>
      <c r="R97" s="16"/>
      <c r="S97" s="7"/>
      <c r="T97" s="14"/>
      <c r="U97" s="5"/>
      <c r="V97" s="4"/>
    </row>
    <row r="98" spans="1:22" ht="14.5" customHeight="1" outlineLevel="2">
      <c r="A98" s="4"/>
      <c r="B98" s="5"/>
      <c r="C98" s="5"/>
      <c r="D98" s="14"/>
      <c r="E98" s="7"/>
      <c r="F98" s="51" t="s">
        <v>126</v>
      </c>
      <c r="G98" s="51" t="s">
        <v>127</v>
      </c>
      <c r="H98" s="82">
        <v>280</v>
      </c>
      <c r="I98" s="51" t="s">
        <v>128</v>
      </c>
      <c r="J98" s="16"/>
      <c r="L98" s="16"/>
      <c r="M98" s="16"/>
      <c r="N98" s="7"/>
      <c r="O98" s="96">
        <v>280</v>
      </c>
      <c r="P98" s="16"/>
      <c r="Q98" s="16"/>
      <c r="R98" s="16"/>
      <c r="S98" s="7"/>
      <c r="T98" s="14"/>
      <c r="U98" s="5"/>
      <c r="V98" s="4"/>
    </row>
    <row r="99" spans="1:22" ht="14.5" customHeight="1" outlineLevel="2">
      <c r="A99" s="4"/>
      <c r="B99" s="5"/>
      <c r="C99" s="5"/>
      <c r="D99" s="14"/>
      <c r="E99" s="7"/>
      <c r="F99" s="53"/>
      <c r="G99" s="51" t="s">
        <v>129</v>
      </c>
      <c r="H99" s="82">
        <v>54</v>
      </c>
      <c r="I99" s="51" t="s">
        <v>128</v>
      </c>
      <c r="J99" s="16"/>
      <c r="L99" s="16"/>
      <c r="M99" s="16"/>
      <c r="N99" s="7"/>
      <c r="O99" s="97">
        <v>54</v>
      </c>
      <c r="P99" s="16"/>
      <c r="Q99" s="16"/>
      <c r="R99" s="16"/>
      <c r="S99" s="7"/>
      <c r="T99" s="14"/>
      <c r="U99" s="5"/>
      <c r="V99" s="4"/>
    </row>
    <row r="100" spans="1:22" ht="14.5" customHeight="1" outlineLevel="2">
      <c r="A100" s="4"/>
      <c r="B100" s="5"/>
      <c r="C100" s="5"/>
      <c r="D100" s="14"/>
      <c r="E100" s="7"/>
      <c r="F100" s="53"/>
      <c r="G100" s="51" t="s">
        <v>130</v>
      </c>
      <c r="H100" s="82">
        <v>0</v>
      </c>
      <c r="I100" s="51" t="s">
        <v>128</v>
      </c>
      <c r="J100" s="16"/>
      <c r="L100" s="16"/>
      <c r="M100" s="16"/>
      <c r="N100" s="7"/>
      <c r="O100" s="97">
        <v>0</v>
      </c>
      <c r="P100" s="16"/>
      <c r="Q100" s="16"/>
      <c r="R100" s="16"/>
      <c r="S100" s="7"/>
      <c r="T100" s="14"/>
      <c r="U100" s="5"/>
      <c r="V100" s="4"/>
    </row>
    <row r="101" spans="1:22" ht="14.5" customHeight="1" outlineLevel="2">
      <c r="A101" s="4"/>
      <c r="B101" s="5"/>
      <c r="C101" s="5"/>
      <c r="D101" s="14"/>
      <c r="E101" s="7"/>
      <c r="F101" s="53"/>
      <c r="G101" s="51" t="s">
        <v>131</v>
      </c>
      <c r="H101" s="82">
        <v>0</v>
      </c>
      <c r="I101" s="51" t="s">
        <v>128</v>
      </c>
      <c r="J101" s="16"/>
      <c r="L101" s="16"/>
      <c r="M101" s="16"/>
      <c r="N101" s="7"/>
      <c r="O101" s="97">
        <v>0</v>
      </c>
      <c r="P101" s="16"/>
      <c r="Q101" s="16"/>
      <c r="R101" s="16"/>
      <c r="S101" s="7"/>
      <c r="T101" s="14"/>
      <c r="U101" s="5"/>
      <c r="V101" s="4"/>
    </row>
    <row r="102" spans="1:22" ht="14.5" customHeight="1" outlineLevel="2">
      <c r="A102" s="4"/>
      <c r="B102" s="5"/>
      <c r="C102" s="5"/>
      <c r="D102" s="14"/>
      <c r="E102" s="7"/>
      <c r="F102" s="51" t="s">
        <v>132</v>
      </c>
      <c r="G102" s="51" t="s">
        <v>133</v>
      </c>
      <c r="H102" s="82">
        <v>0.8</v>
      </c>
      <c r="I102" s="51" t="s">
        <v>134</v>
      </c>
      <c r="J102" s="18"/>
      <c r="L102" s="16"/>
      <c r="M102" s="16"/>
      <c r="N102" s="7"/>
      <c r="O102" s="97">
        <v>0.8</v>
      </c>
      <c r="P102" s="16"/>
      <c r="Q102" s="16"/>
      <c r="R102" s="16"/>
      <c r="S102" s="7"/>
      <c r="T102" s="14"/>
      <c r="U102" s="5"/>
      <c r="V102" s="4"/>
    </row>
    <row r="103" spans="1:22" ht="14.5" customHeight="1" outlineLevel="2">
      <c r="A103" s="4"/>
      <c r="B103" s="5"/>
      <c r="C103" s="5"/>
      <c r="D103" s="14"/>
      <c r="E103" s="7"/>
      <c r="F103" s="51"/>
      <c r="G103" s="51" t="s">
        <v>135</v>
      </c>
      <c r="H103" s="83">
        <v>0.1</v>
      </c>
      <c r="I103" s="51" t="s">
        <v>136</v>
      </c>
      <c r="J103" s="16"/>
      <c r="L103" s="16"/>
      <c r="M103" s="16"/>
      <c r="N103" s="7"/>
      <c r="O103" s="97">
        <v>0.1</v>
      </c>
      <c r="P103" s="16"/>
      <c r="Q103" s="16"/>
      <c r="R103" s="16"/>
      <c r="S103" s="7"/>
      <c r="T103" s="14"/>
      <c r="U103" s="5"/>
      <c r="V103" s="4"/>
    </row>
    <row r="104" spans="1:22" ht="14.5" customHeight="1" outlineLevel="2">
      <c r="A104" s="4"/>
      <c r="B104" s="5"/>
      <c r="C104" s="5"/>
      <c r="D104" s="14"/>
      <c r="E104" s="7"/>
      <c r="F104" s="53"/>
      <c r="G104" s="51" t="s">
        <v>137</v>
      </c>
      <c r="H104" s="84">
        <v>3000</v>
      </c>
      <c r="I104" s="51" t="s">
        <v>138</v>
      </c>
      <c r="J104" s="16"/>
      <c r="L104" s="16"/>
      <c r="M104" s="16"/>
      <c r="N104" s="7"/>
      <c r="O104" s="97">
        <v>3000</v>
      </c>
      <c r="P104" s="16"/>
      <c r="Q104" s="16"/>
      <c r="R104" s="16"/>
      <c r="S104" s="7"/>
      <c r="T104" s="14"/>
      <c r="U104" s="5"/>
      <c r="V104" s="4"/>
    </row>
    <row r="105" spans="1:22" ht="14.5" customHeight="1" outlineLevel="2">
      <c r="A105" s="4"/>
      <c r="B105" s="5"/>
      <c r="C105" s="5"/>
      <c r="D105" s="14"/>
      <c r="E105" s="7"/>
      <c r="F105" s="53"/>
      <c r="G105" s="51" t="s">
        <v>139</v>
      </c>
      <c r="H105" s="82">
        <v>300</v>
      </c>
      <c r="I105" s="51" t="s">
        <v>140</v>
      </c>
      <c r="J105" s="16"/>
      <c r="L105" s="16"/>
      <c r="M105" s="16"/>
      <c r="N105" s="7"/>
      <c r="O105" s="97">
        <v>300</v>
      </c>
      <c r="P105" s="16"/>
      <c r="Q105" s="16"/>
      <c r="R105" s="16"/>
      <c r="S105" s="7"/>
      <c r="T105" s="14"/>
      <c r="U105" s="5"/>
      <c r="V105" s="4"/>
    </row>
    <row r="106" spans="1:22" ht="14.5" customHeight="1" outlineLevel="2">
      <c r="A106" s="4"/>
      <c r="B106" s="5"/>
      <c r="C106" s="5"/>
      <c r="D106" s="14"/>
      <c r="E106" s="7"/>
      <c r="F106" s="53"/>
      <c r="G106" s="51" t="s">
        <v>141</v>
      </c>
      <c r="H106" s="82">
        <v>800</v>
      </c>
      <c r="I106" s="51" t="s">
        <v>140</v>
      </c>
      <c r="J106" s="16"/>
      <c r="L106" s="16"/>
      <c r="N106" s="7"/>
      <c r="O106" s="97">
        <v>800</v>
      </c>
      <c r="S106" s="7"/>
      <c r="T106" s="14"/>
      <c r="U106" s="5"/>
      <c r="V106" s="4"/>
    </row>
    <row r="107" spans="1:22" ht="14.5" customHeight="1" outlineLevel="2">
      <c r="A107" s="4"/>
      <c r="B107" s="5"/>
      <c r="C107" s="5"/>
      <c r="D107" s="14"/>
      <c r="E107" s="7"/>
      <c r="F107" s="51" t="s">
        <v>142</v>
      </c>
      <c r="G107" s="51" t="s">
        <v>143</v>
      </c>
      <c r="H107" s="82">
        <v>10</v>
      </c>
      <c r="I107" s="51" t="s">
        <v>128</v>
      </c>
      <c r="J107" s="16"/>
      <c r="L107" s="16"/>
      <c r="M107" s="16"/>
      <c r="N107" s="7"/>
      <c r="O107" s="97">
        <v>10</v>
      </c>
      <c r="P107" s="16"/>
      <c r="Q107" s="16"/>
      <c r="R107" s="16"/>
      <c r="S107" s="7"/>
      <c r="T107" s="14"/>
      <c r="U107" s="5"/>
      <c r="V107" s="4"/>
    </row>
    <row r="108" spans="1:22" ht="14.5" customHeight="1" outlineLevel="2">
      <c r="A108" s="4"/>
      <c r="B108" s="5"/>
      <c r="C108" s="5"/>
      <c r="D108" s="14"/>
      <c r="E108" s="7"/>
      <c r="F108" s="53"/>
      <c r="G108" s="51" t="s">
        <v>130</v>
      </c>
      <c r="H108" s="82">
        <v>0</v>
      </c>
      <c r="I108" s="51" t="s">
        <v>128</v>
      </c>
      <c r="J108" s="16"/>
      <c r="L108" s="16"/>
      <c r="M108" s="16"/>
      <c r="N108" s="7"/>
      <c r="O108" s="97">
        <v>0</v>
      </c>
      <c r="P108" s="16"/>
      <c r="Q108" s="16"/>
      <c r="R108" s="16"/>
      <c r="S108" s="7"/>
      <c r="T108" s="14"/>
      <c r="U108" s="5"/>
      <c r="V108" s="4"/>
    </row>
    <row r="109" spans="1:22" ht="14.5" customHeight="1" outlineLevel="2">
      <c r="A109" s="4"/>
      <c r="B109" s="5"/>
      <c r="C109" s="5"/>
      <c r="D109" s="14"/>
      <c r="E109" s="7"/>
      <c r="F109" s="53"/>
      <c r="G109" s="51" t="s">
        <v>131</v>
      </c>
      <c r="H109" s="82">
        <v>0</v>
      </c>
      <c r="I109" s="51" t="s">
        <v>128</v>
      </c>
      <c r="J109" s="72"/>
      <c r="L109" s="16"/>
      <c r="M109" s="16"/>
      <c r="N109" s="7"/>
      <c r="O109" s="97">
        <v>0</v>
      </c>
      <c r="P109" s="16"/>
      <c r="Q109" s="16"/>
      <c r="R109" s="16"/>
      <c r="S109" s="7"/>
      <c r="T109" s="14"/>
      <c r="U109" s="5"/>
      <c r="V109" s="4"/>
    </row>
    <row r="110" spans="1:22" ht="14.5" customHeight="1" outlineLevel="2">
      <c r="A110" s="4"/>
      <c r="B110" s="5"/>
      <c r="C110" s="5"/>
      <c r="D110" s="14"/>
      <c r="E110" s="7"/>
      <c r="F110" s="51" t="s">
        <v>144</v>
      </c>
      <c r="G110" s="51" t="s">
        <v>143</v>
      </c>
      <c r="H110" s="82">
        <v>0</v>
      </c>
      <c r="I110" s="51" t="s">
        <v>128</v>
      </c>
      <c r="J110" s="16"/>
      <c r="L110" s="16"/>
      <c r="M110" s="16"/>
      <c r="N110" s="7"/>
      <c r="O110" s="97">
        <v>0</v>
      </c>
      <c r="P110" s="16"/>
      <c r="Q110" s="16"/>
      <c r="R110" s="16"/>
      <c r="S110" s="7"/>
      <c r="T110" s="14"/>
      <c r="U110" s="5"/>
      <c r="V110" s="4"/>
    </row>
    <row r="111" spans="1:22" ht="14.5" customHeight="1" outlineLevel="2">
      <c r="A111" s="4"/>
      <c r="B111" s="5"/>
      <c r="C111" s="5"/>
      <c r="D111" s="14"/>
      <c r="E111" s="7"/>
      <c r="F111" s="53"/>
      <c r="G111" s="51" t="s">
        <v>130</v>
      </c>
      <c r="H111" s="82">
        <v>0</v>
      </c>
      <c r="I111" s="51" t="s">
        <v>128</v>
      </c>
      <c r="J111" s="16"/>
      <c r="L111" s="16"/>
      <c r="M111" s="16"/>
      <c r="N111" s="7"/>
      <c r="O111" s="97">
        <v>0</v>
      </c>
      <c r="P111" s="16"/>
      <c r="Q111" s="16"/>
      <c r="R111" s="16"/>
      <c r="S111" s="7"/>
      <c r="T111" s="14"/>
      <c r="U111" s="5"/>
      <c r="V111" s="4"/>
    </row>
    <row r="112" spans="1:22" ht="14.5" customHeight="1" outlineLevel="2">
      <c r="A112" s="4"/>
      <c r="B112" s="5"/>
      <c r="C112" s="5"/>
      <c r="D112" s="14"/>
      <c r="E112" s="7"/>
      <c r="F112" s="53"/>
      <c r="G112" s="51" t="s">
        <v>131</v>
      </c>
      <c r="H112" s="82">
        <v>0</v>
      </c>
      <c r="I112" s="51" t="s">
        <v>128</v>
      </c>
      <c r="J112" s="16"/>
      <c r="L112" s="16"/>
      <c r="M112" s="16"/>
      <c r="N112" s="7"/>
      <c r="O112" s="97">
        <v>0</v>
      </c>
      <c r="P112" s="16"/>
      <c r="Q112" s="16"/>
      <c r="R112" s="16"/>
      <c r="S112" s="7"/>
      <c r="T112" s="14"/>
      <c r="U112" s="5"/>
      <c r="V112" s="4"/>
    </row>
    <row r="113" spans="1:22" ht="14.5" customHeight="1" outlineLevel="2">
      <c r="A113" s="4"/>
      <c r="B113" s="5"/>
      <c r="C113" s="5"/>
      <c r="D113" s="14"/>
      <c r="E113" s="7"/>
      <c r="F113" s="51" t="s">
        <v>145</v>
      </c>
      <c r="G113" s="51" t="s">
        <v>146</v>
      </c>
      <c r="H113" s="85">
        <v>10000</v>
      </c>
      <c r="I113" s="51" t="s">
        <v>147</v>
      </c>
      <c r="J113" s="16"/>
      <c r="L113" s="16"/>
      <c r="M113" s="16"/>
      <c r="N113" s="7"/>
      <c r="O113" s="97">
        <v>10000</v>
      </c>
      <c r="P113" s="16"/>
      <c r="Q113" s="16"/>
      <c r="R113" s="16"/>
      <c r="S113" s="7"/>
      <c r="T113" s="14"/>
      <c r="U113" s="5"/>
      <c r="V113" s="4"/>
    </row>
    <row r="114" spans="1:22" ht="14.5" customHeight="1" outlineLevel="2">
      <c r="A114" s="4"/>
      <c r="B114" s="5"/>
      <c r="C114" s="5"/>
      <c r="D114" s="14"/>
      <c r="E114" s="7"/>
      <c r="F114" s="51"/>
      <c r="G114" s="51" t="s">
        <v>148</v>
      </c>
      <c r="H114" s="85">
        <v>25</v>
      </c>
      <c r="I114" s="51" t="s">
        <v>128</v>
      </c>
      <c r="J114" s="16"/>
      <c r="L114" s="16"/>
      <c r="M114" s="16"/>
      <c r="N114" s="7"/>
      <c r="O114" s="97">
        <v>25</v>
      </c>
      <c r="P114" s="16"/>
      <c r="Q114" s="16"/>
      <c r="R114" s="16"/>
      <c r="S114" s="7"/>
      <c r="T114" s="14"/>
      <c r="U114" s="5"/>
      <c r="V114" s="4"/>
    </row>
    <row r="115" spans="1:22" ht="14.5" customHeight="1" outlineLevel="2">
      <c r="A115" s="4"/>
      <c r="B115" s="5"/>
      <c r="C115" s="5"/>
      <c r="D115" s="14"/>
      <c r="E115" s="7"/>
      <c r="F115" s="51" t="s">
        <v>149</v>
      </c>
      <c r="G115" s="51" t="s">
        <v>150</v>
      </c>
      <c r="H115" s="85">
        <v>10000</v>
      </c>
      <c r="I115" s="51" t="s">
        <v>147</v>
      </c>
      <c r="J115" s="16"/>
      <c r="M115" s="16"/>
      <c r="N115" s="7"/>
      <c r="O115" s="98">
        <v>10000</v>
      </c>
      <c r="P115" s="16"/>
      <c r="Q115" s="16"/>
      <c r="R115" s="16"/>
      <c r="S115" s="7"/>
      <c r="T115" s="14"/>
      <c r="U115" s="5"/>
      <c r="V115" s="4"/>
    </row>
    <row r="116" spans="1:22" ht="14.5" customHeight="1" outlineLevel="2">
      <c r="A116" s="4"/>
      <c r="B116" s="5"/>
      <c r="C116" s="5"/>
      <c r="D116" s="14"/>
      <c r="E116" s="7"/>
      <c r="F116" s="51"/>
      <c r="G116" s="51" t="s">
        <v>151</v>
      </c>
      <c r="H116" s="85">
        <v>25</v>
      </c>
      <c r="I116" s="51" t="s">
        <v>128</v>
      </c>
      <c r="J116" s="16"/>
      <c r="N116" s="7"/>
      <c r="O116" s="99">
        <v>25</v>
      </c>
      <c r="P116" s="16"/>
      <c r="Q116" s="16"/>
      <c r="R116" s="16"/>
      <c r="S116" s="7"/>
      <c r="T116" s="14"/>
      <c r="U116" s="5"/>
      <c r="V116" s="4"/>
    </row>
    <row r="117" spans="1:22" ht="14.5" customHeight="1" outlineLevel="2">
      <c r="A117" s="4"/>
      <c r="B117" s="5"/>
      <c r="C117" s="5"/>
      <c r="D117" s="14"/>
      <c r="E117" s="7"/>
      <c r="F117" s="51" t="s">
        <v>152</v>
      </c>
      <c r="G117" s="51" t="s">
        <v>153</v>
      </c>
      <c r="H117" s="85">
        <v>300</v>
      </c>
      <c r="I117" s="51" t="s">
        <v>154</v>
      </c>
      <c r="J117" s="16"/>
      <c r="L117" s="18"/>
      <c r="M117" s="16"/>
      <c r="N117" s="7"/>
      <c r="O117" s="98">
        <v>300</v>
      </c>
      <c r="P117" s="16"/>
      <c r="Q117" s="16"/>
      <c r="R117" s="16"/>
      <c r="S117" s="7"/>
      <c r="T117" s="14"/>
      <c r="U117" s="5"/>
      <c r="V117" s="4"/>
    </row>
    <row r="118" spans="1:22" ht="14.5" customHeight="1" outlineLevel="2">
      <c r="A118" s="4"/>
      <c r="B118" s="5"/>
      <c r="C118" s="5"/>
      <c r="D118" s="14"/>
      <c r="E118" s="7"/>
      <c r="F118" s="51"/>
      <c r="G118" s="51" t="s">
        <v>155</v>
      </c>
      <c r="H118" s="86">
        <v>40</v>
      </c>
      <c r="I118" s="51" t="s">
        <v>156</v>
      </c>
      <c r="J118" s="18"/>
      <c r="L118" s="16"/>
      <c r="M118" s="16"/>
      <c r="N118" s="7"/>
      <c r="O118" s="98">
        <v>40</v>
      </c>
      <c r="P118" s="16"/>
      <c r="Q118" s="16"/>
      <c r="R118" s="16"/>
      <c r="S118" s="7"/>
      <c r="T118" s="14"/>
      <c r="U118" s="5"/>
      <c r="V118" s="4"/>
    </row>
    <row r="119" spans="1:22" ht="14.5" customHeight="1" outlineLevel="2">
      <c r="A119" s="4"/>
      <c r="B119" s="5"/>
      <c r="C119" s="5"/>
      <c r="D119" s="14"/>
      <c r="E119" s="7"/>
      <c r="F119" s="51"/>
      <c r="G119" s="51" t="s">
        <v>157</v>
      </c>
      <c r="H119" s="86">
        <v>0.15</v>
      </c>
      <c r="I119" s="51" t="s">
        <v>184</v>
      </c>
      <c r="J119" s="18"/>
      <c r="L119" s="16"/>
      <c r="M119" s="16"/>
      <c r="N119" s="7"/>
      <c r="O119" s="98"/>
      <c r="P119" s="16"/>
      <c r="Q119" s="16"/>
      <c r="R119" s="16"/>
      <c r="S119" s="7"/>
      <c r="T119" s="14"/>
      <c r="U119" s="5"/>
      <c r="V119" s="4"/>
    </row>
    <row r="120" spans="1:22" ht="14.5" customHeight="1" outlineLevel="2">
      <c r="A120" s="4"/>
      <c r="B120" s="5"/>
      <c r="C120" s="5"/>
      <c r="D120" s="14"/>
      <c r="E120" s="7"/>
      <c r="F120" s="54"/>
      <c r="G120" s="54" t="s">
        <v>283</v>
      </c>
      <c r="H120" s="87">
        <v>60</v>
      </c>
      <c r="I120" s="54" t="s">
        <v>284</v>
      </c>
      <c r="J120" s="16"/>
      <c r="L120" s="16"/>
      <c r="M120" s="16"/>
      <c r="N120" s="7"/>
      <c r="O120" s="100">
        <v>0.15</v>
      </c>
      <c r="P120" s="16"/>
      <c r="Q120" s="16"/>
      <c r="R120" s="16"/>
      <c r="S120" s="7"/>
      <c r="T120" s="14"/>
      <c r="U120" s="5"/>
      <c r="V120" s="4"/>
    </row>
    <row r="121" spans="1:22" ht="14.5" customHeight="1" outlineLevel="2">
      <c r="A121" s="4"/>
      <c r="B121" s="5"/>
      <c r="C121" s="5"/>
      <c r="D121" s="14"/>
      <c r="E121" s="7"/>
      <c r="F121" s="50"/>
      <c r="G121" s="16"/>
      <c r="H121" s="16"/>
      <c r="I121" s="16"/>
      <c r="J121" s="16"/>
      <c r="K121" s="16"/>
      <c r="L121" s="16"/>
      <c r="M121" s="16"/>
      <c r="N121" s="7"/>
      <c r="O121" s="16"/>
      <c r="P121" s="16"/>
      <c r="Q121" s="16"/>
      <c r="R121" s="16"/>
      <c r="S121" s="7"/>
      <c r="T121" s="14"/>
      <c r="U121" s="5"/>
      <c r="V121" s="4"/>
    </row>
    <row r="122" spans="1:22" ht="14.5" customHeight="1" outlineLevel="2">
      <c r="A122" s="4"/>
      <c r="B122" s="5"/>
      <c r="C122" s="5"/>
      <c r="D122" s="14"/>
      <c r="E122" s="7"/>
      <c r="F122" s="50"/>
      <c r="G122" s="16"/>
      <c r="H122" s="16"/>
      <c r="I122" s="16"/>
      <c r="J122" s="16"/>
      <c r="K122" s="71"/>
      <c r="L122" s="18"/>
      <c r="M122" s="16"/>
      <c r="N122" s="7"/>
      <c r="O122" s="16"/>
      <c r="P122" s="16"/>
      <c r="Q122" s="16"/>
      <c r="R122" s="16"/>
      <c r="S122" s="7"/>
      <c r="T122" s="14"/>
      <c r="U122" s="5"/>
      <c r="V122" s="4"/>
    </row>
    <row r="123" spans="1:22" ht="14.5" customHeight="1" outlineLevel="2">
      <c r="A123" s="4"/>
      <c r="B123" s="5"/>
      <c r="C123" s="5"/>
      <c r="D123" s="14"/>
      <c r="E123" s="7"/>
      <c r="F123" s="52" t="s">
        <v>5</v>
      </c>
      <c r="G123" s="16"/>
      <c r="H123" s="16"/>
      <c r="I123" s="16"/>
      <c r="J123" s="16"/>
      <c r="K123" s="16"/>
      <c r="L123" s="18"/>
      <c r="M123" s="16"/>
      <c r="N123" s="7"/>
      <c r="O123" s="16"/>
      <c r="P123" s="16"/>
      <c r="Q123" s="16"/>
      <c r="R123" s="16"/>
      <c r="S123" s="7"/>
      <c r="T123" s="14"/>
      <c r="U123" s="5"/>
      <c r="V123" s="4"/>
    </row>
    <row r="124" spans="1:22" ht="14.5" customHeight="1" outlineLevel="2">
      <c r="A124" s="4"/>
      <c r="B124" s="5"/>
      <c r="C124" s="5"/>
      <c r="D124" s="14"/>
      <c r="E124" s="7"/>
      <c r="F124" s="50"/>
      <c r="G124" s="16"/>
      <c r="H124" s="16"/>
      <c r="I124" s="16"/>
      <c r="J124" s="16"/>
      <c r="K124" s="16"/>
      <c r="L124" s="16"/>
      <c r="M124" s="16"/>
      <c r="N124" s="7"/>
      <c r="O124" s="16"/>
      <c r="P124" s="16"/>
      <c r="Q124" s="16"/>
      <c r="R124" s="16"/>
      <c r="S124" s="7"/>
      <c r="T124" s="14"/>
      <c r="U124" s="5"/>
      <c r="V124" s="4"/>
    </row>
    <row r="125" spans="1:22" ht="14.5" customHeight="1" outlineLevel="2">
      <c r="A125" s="4"/>
      <c r="B125" s="5"/>
      <c r="C125" s="5"/>
      <c r="D125" s="14"/>
      <c r="E125" s="7"/>
      <c r="F125" s="50"/>
      <c r="G125" s="16"/>
      <c r="H125" s="16"/>
      <c r="I125" s="16"/>
      <c r="J125" s="16"/>
      <c r="K125" s="16"/>
      <c r="L125" s="16"/>
      <c r="M125" s="16"/>
      <c r="N125" s="7"/>
      <c r="O125" s="16"/>
      <c r="P125" s="16"/>
      <c r="Q125" s="16"/>
      <c r="R125" s="16"/>
      <c r="S125" s="7"/>
      <c r="T125" s="14"/>
      <c r="U125" s="5"/>
      <c r="V125" s="4"/>
    </row>
    <row r="126" spans="1:22" ht="14.5" customHeight="1" outlineLevel="2">
      <c r="A126" s="4"/>
      <c r="B126" s="5"/>
      <c r="C126" s="5"/>
      <c r="D126" s="14"/>
      <c r="E126" s="7"/>
      <c r="F126" s="50"/>
      <c r="G126" s="16"/>
      <c r="H126" s="16"/>
      <c r="I126" s="16"/>
      <c r="J126" s="16"/>
      <c r="K126" s="16"/>
      <c r="L126" s="16"/>
      <c r="M126" s="16"/>
      <c r="N126" s="7"/>
      <c r="O126" s="16"/>
      <c r="P126" s="16"/>
      <c r="Q126" s="16"/>
      <c r="R126" s="16"/>
      <c r="S126" s="7"/>
      <c r="T126" s="14"/>
      <c r="U126" s="5"/>
      <c r="V126" s="4"/>
    </row>
    <row r="127" spans="1:22" ht="14.5" customHeight="1" outlineLevel="2">
      <c r="A127" s="4"/>
      <c r="B127" s="5"/>
      <c r="C127" s="5"/>
      <c r="D127" s="14"/>
      <c r="E127" s="7"/>
      <c r="F127" s="50"/>
      <c r="G127" s="16"/>
      <c r="H127" s="16"/>
      <c r="I127" s="16"/>
      <c r="J127" s="16"/>
      <c r="K127" s="16"/>
      <c r="L127" s="16"/>
      <c r="M127" s="16"/>
      <c r="N127" s="7"/>
      <c r="O127" s="16"/>
      <c r="P127" s="16"/>
      <c r="Q127" s="16"/>
      <c r="R127" s="16"/>
      <c r="S127" s="7"/>
      <c r="T127" s="14"/>
      <c r="U127" s="5"/>
      <c r="V127" s="4"/>
    </row>
    <row r="128" spans="1:22" ht="14.5" customHeight="1" outlineLevel="2">
      <c r="A128" s="4"/>
      <c r="B128" s="5"/>
      <c r="C128" s="5"/>
      <c r="D128" s="14"/>
      <c r="E128" s="7"/>
      <c r="F128" s="50"/>
      <c r="G128" s="16"/>
      <c r="H128" s="16"/>
      <c r="I128" s="16"/>
      <c r="J128" s="16"/>
      <c r="K128" s="16"/>
      <c r="L128" s="16"/>
      <c r="M128" s="16"/>
      <c r="N128" s="7"/>
      <c r="O128" s="16"/>
      <c r="P128" s="16"/>
      <c r="Q128" s="16"/>
      <c r="R128" s="16"/>
      <c r="S128" s="7"/>
      <c r="T128" s="14"/>
      <c r="U128" s="5"/>
      <c r="V128" s="4"/>
    </row>
    <row r="129" spans="1:22" ht="14.5" customHeight="1" outlineLevel="2">
      <c r="A129" s="4"/>
      <c r="B129" s="5"/>
      <c r="C129" s="5"/>
      <c r="D129" s="14"/>
      <c r="E129" s="7"/>
      <c r="F129" s="50"/>
      <c r="G129" s="16"/>
      <c r="H129" s="16"/>
      <c r="I129" s="16"/>
      <c r="J129" s="16"/>
      <c r="K129" s="16"/>
      <c r="L129" s="16"/>
      <c r="M129" s="16"/>
      <c r="N129" s="7"/>
      <c r="O129" s="16"/>
      <c r="P129" s="16"/>
      <c r="Q129" s="16"/>
      <c r="R129" s="16"/>
      <c r="S129" s="7"/>
      <c r="T129" s="14"/>
      <c r="U129" s="5"/>
      <c r="V129" s="4"/>
    </row>
    <row r="130" spans="1:22" ht="14.5" customHeight="1" outlineLevel="2">
      <c r="A130" s="4"/>
      <c r="B130" s="5"/>
      <c r="C130" s="5"/>
      <c r="D130" s="14"/>
      <c r="E130" s="7"/>
      <c r="F130" s="50"/>
      <c r="G130" s="16"/>
      <c r="H130" s="16"/>
      <c r="I130" s="16"/>
      <c r="J130" s="16"/>
      <c r="K130" s="16"/>
      <c r="L130" s="16"/>
      <c r="M130" s="16"/>
      <c r="N130" s="7"/>
      <c r="O130" s="16"/>
      <c r="P130" s="16"/>
      <c r="Q130" s="16"/>
      <c r="R130" s="16"/>
      <c r="S130" s="7"/>
      <c r="T130" s="14"/>
      <c r="U130" s="5"/>
      <c r="V130" s="4"/>
    </row>
    <row r="131" spans="1:22" ht="14.5" customHeight="1" outlineLevel="2">
      <c r="A131" s="4"/>
      <c r="B131" s="5"/>
      <c r="C131" s="5"/>
      <c r="D131" s="14"/>
      <c r="E131" s="7"/>
      <c r="F131" s="50"/>
      <c r="G131" s="16"/>
      <c r="H131" s="16"/>
      <c r="I131" s="16"/>
      <c r="J131" s="16"/>
      <c r="K131" s="16"/>
      <c r="L131" s="16"/>
      <c r="M131" s="16"/>
      <c r="N131" s="7"/>
      <c r="O131" s="16"/>
      <c r="P131" s="16"/>
      <c r="Q131" s="16"/>
      <c r="R131" s="16"/>
      <c r="S131" s="7"/>
      <c r="T131" s="14"/>
      <c r="U131" s="5"/>
      <c r="V131" s="4"/>
    </row>
    <row r="132" spans="1:22" ht="14.5" customHeight="1" outlineLevel="2">
      <c r="A132" s="4"/>
      <c r="B132" s="5"/>
      <c r="C132" s="5"/>
      <c r="D132" s="14"/>
      <c r="E132" s="7"/>
      <c r="F132" s="50"/>
      <c r="G132" s="16"/>
      <c r="H132" s="16"/>
      <c r="I132" s="16"/>
      <c r="J132" s="16"/>
      <c r="K132" s="16"/>
      <c r="L132" s="16"/>
      <c r="M132" s="16"/>
      <c r="N132" s="7"/>
      <c r="O132" s="16"/>
      <c r="P132" s="16"/>
      <c r="Q132" s="16"/>
      <c r="R132" s="16"/>
      <c r="S132" s="7"/>
      <c r="T132" s="14"/>
      <c r="U132" s="5"/>
      <c r="V132" s="4"/>
    </row>
    <row r="133" spans="1:22" ht="14.5" customHeight="1" outlineLevel="2">
      <c r="A133" s="4"/>
      <c r="B133" s="5"/>
      <c r="C133" s="5"/>
      <c r="D133" s="14"/>
      <c r="E133" s="7"/>
      <c r="F133" s="50"/>
      <c r="G133" s="16"/>
      <c r="H133" s="16"/>
      <c r="I133" s="16"/>
      <c r="J133" s="16"/>
      <c r="K133" s="16"/>
      <c r="L133" s="16"/>
      <c r="M133" s="16"/>
      <c r="N133" s="7"/>
      <c r="O133" s="16"/>
      <c r="P133" s="16"/>
      <c r="Q133" s="16"/>
      <c r="R133" s="16"/>
      <c r="S133" s="7"/>
      <c r="T133" s="14"/>
      <c r="U133" s="5"/>
      <c r="V133" s="4"/>
    </row>
    <row r="134" spans="1:22" ht="14.5" customHeight="1" outlineLevel="2">
      <c r="A134" s="4"/>
      <c r="B134" s="5"/>
      <c r="C134" s="5"/>
      <c r="D134" s="14"/>
      <c r="E134" s="7"/>
      <c r="F134" s="50"/>
      <c r="G134" s="16"/>
      <c r="H134" s="16"/>
      <c r="I134" s="16"/>
      <c r="J134" s="16"/>
      <c r="K134" s="16"/>
      <c r="L134" s="16"/>
      <c r="M134" s="16"/>
      <c r="N134" s="7"/>
      <c r="O134" s="16"/>
      <c r="P134" s="16"/>
      <c r="Q134" s="16"/>
      <c r="R134" s="16"/>
      <c r="S134" s="7"/>
      <c r="T134" s="14"/>
      <c r="U134" s="5"/>
      <c r="V134" s="4"/>
    </row>
    <row r="135" spans="1:22" ht="14.5" customHeight="1" outlineLevel="2">
      <c r="A135" s="4"/>
      <c r="B135" s="5"/>
      <c r="C135" s="5"/>
      <c r="D135" s="14"/>
      <c r="E135" s="7"/>
      <c r="F135" s="50"/>
      <c r="G135" s="16"/>
      <c r="H135" s="16"/>
      <c r="I135" s="16"/>
      <c r="J135" s="16"/>
      <c r="K135" s="16"/>
      <c r="L135" s="16"/>
      <c r="M135" s="16"/>
      <c r="N135" s="7"/>
      <c r="O135" s="16"/>
      <c r="P135" s="16"/>
      <c r="Q135" s="16"/>
      <c r="R135" s="16"/>
      <c r="S135" s="7"/>
      <c r="T135" s="14"/>
      <c r="U135" s="5"/>
      <c r="V135" s="4"/>
    </row>
    <row r="136" spans="1:22" ht="14.5" customHeight="1" outlineLevel="2">
      <c r="A136" s="4"/>
      <c r="B136" s="5"/>
      <c r="C136" s="5"/>
      <c r="D136" s="14"/>
      <c r="E136" s="7"/>
      <c r="F136" s="50"/>
      <c r="G136" s="16"/>
      <c r="H136" s="16"/>
      <c r="I136" s="16"/>
      <c r="J136" s="16"/>
      <c r="K136" s="16"/>
      <c r="L136" s="16"/>
      <c r="M136" s="16"/>
      <c r="N136" s="7"/>
      <c r="O136" s="16"/>
      <c r="P136" s="16"/>
      <c r="Q136" s="16"/>
      <c r="R136" s="16"/>
      <c r="S136" s="7"/>
      <c r="T136" s="14"/>
      <c r="U136" s="5"/>
      <c r="V136" s="4"/>
    </row>
    <row r="137" spans="1:22" ht="14.5" customHeight="1" outlineLevel="2">
      <c r="A137" s="4"/>
      <c r="B137" s="5"/>
      <c r="C137" s="5"/>
      <c r="D137" s="14"/>
      <c r="E137" s="7"/>
      <c r="F137" s="50"/>
      <c r="G137" s="16"/>
      <c r="H137" s="16"/>
      <c r="I137" s="16"/>
      <c r="J137" s="16"/>
      <c r="K137" s="16"/>
      <c r="L137" s="16"/>
      <c r="M137" s="16"/>
      <c r="N137" s="7"/>
      <c r="O137" s="16"/>
      <c r="P137" s="16"/>
      <c r="Q137" s="16"/>
      <c r="R137" s="16"/>
      <c r="S137" s="7"/>
      <c r="T137" s="14"/>
      <c r="U137" s="5"/>
      <c r="V137" s="4"/>
    </row>
    <row r="138" spans="1:22" ht="14.5" customHeight="1" outlineLevel="2">
      <c r="A138" s="4"/>
      <c r="B138" s="5"/>
      <c r="C138" s="5"/>
      <c r="D138" s="14"/>
      <c r="E138" s="7"/>
      <c r="F138" s="50"/>
      <c r="G138" s="16"/>
      <c r="H138" s="16"/>
      <c r="I138" s="16"/>
      <c r="J138" s="16"/>
      <c r="K138" s="16"/>
      <c r="L138" s="16"/>
      <c r="M138" s="16"/>
      <c r="N138" s="7"/>
      <c r="O138" s="16"/>
      <c r="P138" s="16"/>
      <c r="Q138" s="16"/>
      <c r="R138" s="16"/>
      <c r="S138" s="7"/>
      <c r="T138" s="14"/>
      <c r="U138" s="5"/>
      <c r="V138" s="4"/>
    </row>
    <row r="139" spans="1:22" ht="14.5" customHeight="1" outlineLevel="2">
      <c r="A139" s="4"/>
      <c r="B139" s="5"/>
      <c r="C139" s="5"/>
      <c r="D139" s="14"/>
      <c r="E139" s="7"/>
      <c r="F139" s="50"/>
      <c r="G139" s="16"/>
      <c r="H139" s="16"/>
      <c r="I139" s="16"/>
      <c r="J139" s="16"/>
      <c r="K139" s="16"/>
      <c r="L139" s="16"/>
      <c r="M139" s="16"/>
      <c r="N139" s="7"/>
      <c r="O139" s="16"/>
      <c r="P139" s="16"/>
      <c r="Q139" s="16"/>
      <c r="R139" s="16"/>
      <c r="S139" s="7"/>
      <c r="T139" s="14"/>
      <c r="U139" s="5"/>
      <c r="V139" s="4"/>
    </row>
    <row r="140" spans="1:22" ht="14.5" customHeight="1" outlineLevel="2">
      <c r="A140" s="4"/>
      <c r="B140" s="5"/>
      <c r="C140" s="5"/>
      <c r="D140" s="14"/>
      <c r="E140" s="7"/>
      <c r="F140" s="50"/>
      <c r="G140" s="16"/>
      <c r="H140" s="16"/>
      <c r="I140" s="16"/>
      <c r="J140" s="16"/>
      <c r="K140" s="16"/>
      <c r="L140" s="16"/>
      <c r="M140" s="16"/>
      <c r="N140" s="7"/>
      <c r="O140" s="16"/>
      <c r="P140" s="16"/>
      <c r="Q140" s="16"/>
      <c r="R140" s="16"/>
      <c r="S140" s="7"/>
      <c r="T140" s="14"/>
      <c r="U140" s="5"/>
      <c r="V140" s="4"/>
    </row>
    <row r="141" spans="1:22" ht="14.5" customHeight="1" outlineLevel="2">
      <c r="A141" s="4"/>
      <c r="B141" s="5"/>
      <c r="C141" s="5"/>
      <c r="D141" s="14"/>
      <c r="E141" s="7"/>
      <c r="F141" s="50"/>
      <c r="G141" s="16"/>
      <c r="H141" s="16"/>
      <c r="I141" s="16"/>
      <c r="J141" s="16"/>
      <c r="K141" s="16"/>
      <c r="L141" s="16"/>
      <c r="M141" s="16"/>
      <c r="N141" s="7"/>
      <c r="O141" s="16"/>
      <c r="P141" s="16"/>
      <c r="Q141" s="16"/>
      <c r="R141" s="16"/>
      <c r="S141" s="7"/>
      <c r="T141" s="14"/>
      <c r="U141" s="5"/>
      <c r="V141" s="4"/>
    </row>
    <row r="142" spans="1:22" ht="14.5" customHeight="1" outlineLevel="2">
      <c r="A142" s="4"/>
      <c r="B142" s="5"/>
      <c r="C142" s="5"/>
      <c r="D142" s="14"/>
      <c r="E142" s="7"/>
      <c r="F142" s="50"/>
      <c r="G142" s="16"/>
      <c r="H142" s="16"/>
      <c r="I142" s="16"/>
      <c r="J142" s="16"/>
      <c r="K142" s="16"/>
      <c r="L142" s="16"/>
      <c r="M142" s="16"/>
      <c r="N142" s="7"/>
      <c r="O142" s="16"/>
      <c r="P142" s="16"/>
      <c r="Q142" s="16"/>
      <c r="R142" s="16"/>
      <c r="S142" s="7"/>
      <c r="T142" s="14"/>
      <c r="U142" s="5"/>
      <c r="V142" s="4"/>
    </row>
    <row r="143" spans="1:22" ht="14.5" customHeight="1" outlineLevel="2">
      <c r="A143" s="4"/>
      <c r="B143" s="5"/>
      <c r="C143" s="5"/>
      <c r="D143" s="14"/>
      <c r="E143" s="7"/>
      <c r="F143" s="52" t="s">
        <v>195</v>
      </c>
      <c r="G143" s="16"/>
      <c r="H143" s="16"/>
      <c r="I143" s="16"/>
      <c r="J143" s="16"/>
      <c r="K143" s="16"/>
      <c r="L143" s="16"/>
      <c r="M143" s="16"/>
      <c r="N143" s="7"/>
      <c r="O143" s="16"/>
      <c r="P143" s="16"/>
      <c r="Q143" s="16"/>
      <c r="R143" s="16"/>
      <c r="S143" s="7"/>
      <c r="T143" s="14"/>
      <c r="U143" s="5"/>
      <c r="V143" s="4"/>
    </row>
    <row r="144" spans="1:22" ht="14.5" customHeight="1" outlineLevel="2">
      <c r="A144" s="4"/>
      <c r="B144" s="5"/>
      <c r="C144" s="5"/>
      <c r="D144" s="14"/>
      <c r="E144" s="7"/>
      <c r="F144" s="50"/>
      <c r="G144" s="16"/>
      <c r="H144" s="16"/>
      <c r="I144" s="16"/>
      <c r="J144" s="16"/>
      <c r="K144" s="16"/>
      <c r="L144" s="16"/>
      <c r="M144" s="16"/>
      <c r="N144" s="7"/>
      <c r="O144" s="16"/>
      <c r="P144" s="16"/>
      <c r="Q144" s="16"/>
      <c r="R144" s="16"/>
      <c r="S144" s="7"/>
      <c r="T144" s="14"/>
      <c r="U144" s="5"/>
      <c r="V144" s="4"/>
    </row>
    <row r="145" spans="1:22" ht="14.5" customHeight="1" outlineLevel="2">
      <c r="A145" s="4"/>
      <c r="B145" s="5"/>
      <c r="C145" s="5"/>
      <c r="D145" s="14"/>
      <c r="E145" s="7"/>
      <c r="F145" s="50"/>
      <c r="G145" s="63" t="s">
        <v>196</v>
      </c>
      <c r="H145" s="16"/>
      <c r="I145" s="16"/>
      <c r="J145" s="16"/>
      <c r="K145" s="16"/>
      <c r="L145" s="16"/>
      <c r="M145" s="16"/>
      <c r="N145" s="7"/>
      <c r="O145" s="16"/>
      <c r="P145" s="16"/>
      <c r="Q145" s="16"/>
      <c r="R145" s="16"/>
      <c r="S145" s="7"/>
      <c r="T145" s="14"/>
      <c r="U145" s="5"/>
      <c r="V145" s="4"/>
    </row>
    <row r="146" spans="1:22" ht="14.5" customHeight="1" outlineLevel="2">
      <c r="A146" s="4"/>
      <c r="B146" s="5"/>
      <c r="C146" s="5"/>
      <c r="D146" s="14"/>
      <c r="E146" s="7"/>
      <c r="F146" s="50"/>
      <c r="G146" s="64" t="s">
        <v>182</v>
      </c>
      <c r="H146" s="16"/>
      <c r="I146" s="16"/>
      <c r="J146" s="16"/>
      <c r="K146" s="16"/>
      <c r="L146" s="16"/>
      <c r="M146" s="16"/>
      <c r="N146" s="7"/>
      <c r="O146" s="16"/>
      <c r="P146" s="16"/>
      <c r="Q146" s="16"/>
      <c r="R146" s="16"/>
      <c r="S146" s="7"/>
      <c r="T146" s="14"/>
      <c r="U146" s="5"/>
      <c r="V146" s="4"/>
    </row>
    <row r="147" spans="1:22" ht="14.5" customHeight="1" outlineLevel="2">
      <c r="A147" s="4"/>
      <c r="B147" s="5"/>
      <c r="C147" s="5"/>
      <c r="D147" s="14"/>
      <c r="E147" s="7"/>
      <c r="F147" s="50"/>
      <c r="G147" s="63"/>
      <c r="H147" s="16"/>
      <c r="I147" s="16"/>
      <c r="J147" s="16"/>
      <c r="K147" s="16"/>
      <c r="L147" s="16"/>
      <c r="M147" s="16"/>
      <c r="N147" s="7"/>
      <c r="O147" s="16"/>
      <c r="P147" s="16"/>
      <c r="Q147" s="16"/>
      <c r="R147" s="16"/>
      <c r="S147" s="7"/>
      <c r="T147" s="14"/>
      <c r="U147" s="5"/>
      <c r="V147" s="4"/>
    </row>
    <row r="148" spans="1:22" ht="14.5" customHeight="1" outlineLevel="2">
      <c r="A148" s="4"/>
      <c r="B148" s="5"/>
      <c r="C148" s="5"/>
      <c r="D148" s="14"/>
      <c r="E148" s="7"/>
      <c r="F148" s="50"/>
      <c r="G148" s="16"/>
      <c r="H148" s="16"/>
      <c r="J148" s="16"/>
      <c r="K148" s="16"/>
      <c r="L148" s="16"/>
      <c r="M148" s="16"/>
      <c r="N148" s="7"/>
      <c r="O148" s="16"/>
      <c r="P148" s="16"/>
      <c r="Q148" s="16"/>
      <c r="R148" s="16"/>
      <c r="S148" s="7"/>
      <c r="T148" s="14"/>
      <c r="U148" s="5"/>
      <c r="V148" s="4"/>
    </row>
    <row r="149" spans="1:22" ht="14.5" customHeight="1" outlineLevel="2">
      <c r="A149" s="4"/>
      <c r="B149" s="5"/>
      <c r="C149" s="5"/>
      <c r="D149" s="14"/>
      <c r="E149" s="7"/>
      <c r="F149" s="50"/>
      <c r="G149" s="16"/>
      <c r="H149" s="16"/>
      <c r="I149" s="16"/>
      <c r="J149" s="16"/>
      <c r="K149" s="16"/>
      <c r="L149" s="16"/>
      <c r="M149" s="16"/>
      <c r="N149" s="7"/>
      <c r="O149" s="16"/>
      <c r="P149" s="16"/>
      <c r="Q149" s="16"/>
      <c r="R149" s="16"/>
      <c r="S149" s="7"/>
      <c r="T149" s="14"/>
      <c r="U149" s="5"/>
      <c r="V149" s="4"/>
    </row>
    <row r="150" spans="1:22" ht="14.5" customHeight="1" outlineLevel="2">
      <c r="A150" s="4"/>
      <c r="B150" s="5"/>
      <c r="C150" s="5"/>
      <c r="D150" s="14"/>
      <c r="E150" s="7"/>
      <c r="F150" s="50"/>
      <c r="G150" s="16"/>
      <c r="H150" s="16"/>
      <c r="I150" s="16"/>
      <c r="J150" s="16"/>
      <c r="K150" s="16"/>
      <c r="L150" s="16"/>
      <c r="M150" s="16"/>
      <c r="N150" s="7"/>
      <c r="O150" s="16"/>
      <c r="P150" s="16"/>
      <c r="Q150" s="16"/>
      <c r="R150" s="16"/>
      <c r="S150" s="7"/>
      <c r="T150" s="14"/>
      <c r="U150" s="5"/>
      <c r="V150" s="4"/>
    </row>
    <row r="151" spans="1:22" ht="14.5" customHeight="1" outlineLevel="2">
      <c r="A151" s="4"/>
      <c r="B151" s="5"/>
      <c r="C151" s="5"/>
      <c r="D151" s="14"/>
      <c r="E151" s="7"/>
      <c r="F151" s="50"/>
      <c r="G151" s="16"/>
      <c r="H151" s="16"/>
      <c r="I151" s="16"/>
      <c r="J151" s="16"/>
      <c r="K151" s="16"/>
      <c r="L151" s="16"/>
      <c r="M151" s="16"/>
      <c r="N151" s="7"/>
      <c r="O151" s="16"/>
      <c r="P151" s="16"/>
      <c r="Q151" s="16"/>
      <c r="R151" s="16"/>
      <c r="S151" s="7"/>
      <c r="T151" s="14"/>
      <c r="U151" s="5"/>
      <c r="V151" s="4"/>
    </row>
    <row r="152" spans="1:22" ht="14.5" customHeight="1" outlineLevel="2">
      <c r="A152" s="4"/>
      <c r="B152" s="5"/>
      <c r="C152" s="5"/>
      <c r="D152" s="14"/>
      <c r="E152" s="7"/>
      <c r="F152" s="50"/>
      <c r="G152" s="16"/>
      <c r="H152" s="16"/>
      <c r="I152" s="16"/>
      <c r="J152" s="16"/>
      <c r="K152" s="16"/>
      <c r="L152" s="16"/>
      <c r="M152" s="16"/>
      <c r="N152" s="7"/>
      <c r="O152" s="16"/>
      <c r="P152" s="16"/>
      <c r="Q152" s="16"/>
      <c r="R152" s="16"/>
      <c r="S152" s="7"/>
      <c r="T152" s="14"/>
      <c r="U152" s="5"/>
      <c r="V152" s="4"/>
    </row>
    <row r="153" spans="1:22" ht="14.5" customHeight="1" outlineLevel="2">
      <c r="A153" s="4"/>
      <c r="B153" s="5"/>
      <c r="C153" s="5"/>
      <c r="D153" s="14"/>
      <c r="E153" s="7"/>
      <c r="F153" s="50"/>
      <c r="G153" s="16"/>
      <c r="H153" s="16"/>
      <c r="I153" s="16"/>
      <c r="J153" s="16"/>
      <c r="K153" s="16"/>
      <c r="L153" s="16"/>
      <c r="M153" s="16"/>
      <c r="N153" s="7"/>
      <c r="O153" s="16"/>
      <c r="P153" s="16"/>
      <c r="Q153" s="16"/>
      <c r="R153" s="16"/>
      <c r="S153" s="7"/>
      <c r="T153" s="14"/>
      <c r="U153" s="5"/>
      <c r="V153" s="4"/>
    </row>
    <row r="154" spans="1:22" ht="14.5" customHeight="1" outlineLevel="2">
      <c r="A154" s="4"/>
      <c r="B154" s="5"/>
      <c r="C154" s="5"/>
      <c r="D154" s="14"/>
      <c r="E154" s="7"/>
      <c r="F154" s="50"/>
      <c r="G154" s="16"/>
      <c r="H154" s="16"/>
      <c r="I154" s="16"/>
      <c r="J154" s="16"/>
      <c r="K154" s="16"/>
      <c r="L154" s="16"/>
      <c r="M154" s="16"/>
      <c r="N154" s="7"/>
      <c r="O154" s="16"/>
      <c r="P154" s="16"/>
      <c r="Q154" s="16"/>
      <c r="R154" s="16"/>
      <c r="S154" s="7"/>
      <c r="T154" s="14"/>
      <c r="U154" s="5"/>
      <c r="V154" s="4"/>
    </row>
    <row r="155" spans="1:22" ht="14.5" customHeight="1" outlineLevel="2">
      <c r="A155" s="4"/>
      <c r="B155" s="5"/>
      <c r="C155" s="5"/>
      <c r="D155" s="14"/>
      <c r="E155" s="7"/>
      <c r="F155" s="50"/>
      <c r="G155" s="16"/>
      <c r="H155" s="16"/>
      <c r="I155" s="16"/>
      <c r="J155" s="16"/>
      <c r="K155" s="16"/>
      <c r="L155" s="16"/>
      <c r="M155" s="16"/>
      <c r="N155" s="7"/>
      <c r="O155" s="16"/>
      <c r="P155" s="16"/>
      <c r="Q155" s="16"/>
      <c r="R155" s="16"/>
      <c r="S155" s="7"/>
      <c r="T155" s="14"/>
      <c r="U155" s="5"/>
      <c r="V155" s="4"/>
    </row>
    <row r="156" spans="1:22" ht="14.5" customHeight="1" outlineLevel="2">
      <c r="A156" s="4"/>
      <c r="B156" s="5"/>
      <c r="C156" s="5"/>
      <c r="D156" s="14"/>
      <c r="E156" s="7"/>
      <c r="F156" s="50"/>
      <c r="G156" s="16"/>
      <c r="H156" s="16"/>
      <c r="I156" s="16"/>
      <c r="J156" s="16"/>
      <c r="K156" s="16"/>
      <c r="L156" s="16"/>
      <c r="M156" s="16"/>
      <c r="N156" s="7"/>
      <c r="O156" s="16"/>
      <c r="P156" s="16"/>
      <c r="Q156" s="16"/>
      <c r="R156" s="16"/>
      <c r="S156" s="7"/>
      <c r="T156" s="14"/>
      <c r="U156" s="5"/>
      <c r="V156" s="4"/>
    </row>
    <row r="157" spans="1:22" ht="14.5" customHeight="1" outlineLevel="2">
      <c r="A157" s="4"/>
      <c r="B157" s="5"/>
      <c r="C157" s="5"/>
      <c r="D157" s="14"/>
      <c r="E157" s="7"/>
      <c r="F157" s="50"/>
      <c r="G157" s="16"/>
      <c r="H157" s="16"/>
      <c r="I157" s="16"/>
      <c r="J157" s="16"/>
      <c r="K157" s="16"/>
      <c r="L157" s="16"/>
      <c r="M157" s="16"/>
      <c r="N157" s="7"/>
      <c r="O157" s="16"/>
      <c r="P157" s="16"/>
      <c r="Q157" s="16"/>
      <c r="R157" s="16"/>
      <c r="S157" s="7"/>
      <c r="T157" s="14"/>
      <c r="U157" s="5"/>
      <c r="V157" s="4"/>
    </row>
    <row r="158" spans="1:22" ht="14.5" customHeight="1" outlineLevel="2">
      <c r="A158" s="4"/>
      <c r="B158" s="5"/>
      <c r="C158" s="5"/>
      <c r="D158" s="14"/>
      <c r="E158" s="7"/>
      <c r="F158" s="50"/>
      <c r="G158" s="16"/>
      <c r="H158" s="16"/>
      <c r="I158" s="16"/>
      <c r="J158" s="16"/>
      <c r="K158" s="16"/>
      <c r="L158" s="16"/>
      <c r="M158" s="16"/>
      <c r="N158" s="7"/>
      <c r="O158" s="16"/>
      <c r="P158" s="16"/>
      <c r="Q158" s="16"/>
      <c r="R158" s="16"/>
      <c r="S158" s="7"/>
      <c r="T158" s="14"/>
      <c r="U158" s="5"/>
      <c r="V158" s="4"/>
    </row>
    <row r="159" spans="1:22" ht="14.5" customHeight="1" outlineLevel="2">
      <c r="A159" s="4"/>
      <c r="B159" s="5"/>
      <c r="C159" s="5"/>
      <c r="D159" s="14"/>
      <c r="E159" s="7"/>
      <c r="F159" s="50"/>
      <c r="G159" s="16"/>
      <c r="H159" s="16"/>
      <c r="I159" s="16"/>
      <c r="J159" s="16"/>
      <c r="K159" s="16"/>
      <c r="L159" s="16"/>
      <c r="M159" s="16"/>
      <c r="N159" s="7"/>
      <c r="O159" s="16"/>
      <c r="P159" s="16"/>
      <c r="Q159" s="16"/>
      <c r="R159" s="16"/>
      <c r="S159" s="7"/>
      <c r="T159" s="14"/>
      <c r="U159" s="5"/>
      <c r="V159" s="4"/>
    </row>
    <row r="160" spans="1:22" ht="14.5" customHeight="1" outlineLevel="2">
      <c r="A160" s="4"/>
      <c r="B160" s="5"/>
      <c r="C160" s="5"/>
      <c r="D160" s="14"/>
      <c r="E160" s="7"/>
      <c r="F160" s="50"/>
      <c r="G160" s="16"/>
      <c r="H160" s="16"/>
      <c r="I160" s="16"/>
      <c r="J160" s="16"/>
      <c r="K160" s="16"/>
      <c r="L160" s="16"/>
      <c r="M160" s="16"/>
      <c r="N160" s="7"/>
      <c r="O160" s="16"/>
      <c r="P160" s="16"/>
      <c r="Q160" s="16"/>
      <c r="R160" s="16"/>
      <c r="S160" s="7"/>
      <c r="T160" s="14"/>
      <c r="U160" s="5"/>
      <c r="V160" s="4"/>
    </row>
    <row r="161" spans="1:22" ht="14.5" customHeight="1" outlineLevel="2">
      <c r="A161" s="4"/>
      <c r="B161" s="5"/>
      <c r="C161" s="5"/>
      <c r="D161" s="14"/>
      <c r="E161" s="7"/>
      <c r="F161" s="50"/>
      <c r="G161" s="16"/>
      <c r="H161" s="16"/>
      <c r="I161" s="16"/>
      <c r="J161" s="16"/>
      <c r="K161" s="16"/>
      <c r="L161" s="16"/>
      <c r="M161" s="16"/>
      <c r="N161" s="7"/>
      <c r="O161" s="16"/>
      <c r="P161" s="16"/>
      <c r="Q161" s="16"/>
      <c r="R161" s="16"/>
      <c r="S161" s="7"/>
      <c r="T161" s="14"/>
      <c r="U161" s="5"/>
      <c r="V161" s="4"/>
    </row>
    <row r="162" spans="1:22" ht="14.5" customHeight="1" outlineLevel="2">
      <c r="A162" s="4"/>
      <c r="B162" s="5"/>
      <c r="C162" s="5"/>
      <c r="D162" s="14"/>
      <c r="E162" s="7"/>
      <c r="F162" s="50"/>
      <c r="G162" s="16"/>
      <c r="H162" s="16"/>
      <c r="I162" s="16"/>
      <c r="J162" s="16"/>
      <c r="K162" s="16"/>
      <c r="L162" s="16"/>
      <c r="M162" s="16"/>
      <c r="N162" s="7"/>
      <c r="O162" s="16"/>
      <c r="P162" s="16"/>
      <c r="Q162" s="16"/>
      <c r="R162" s="16"/>
      <c r="S162" s="7"/>
      <c r="T162" s="14"/>
      <c r="U162" s="5"/>
      <c r="V162" s="4"/>
    </row>
    <row r="163" spans="1:22" ht="14.5" customHeight="1" outlineLevel="2">
      <c r="A163" s="4"/>
      <c r="B163" s="5"/>
      <c r="C163" s="5"/>
      <c r="D163" s="14"/>
      <c r="E163" s="7"/>
      <c r="F163" s="50"/>
      <c r="G163" s="16"/>
      <c r="H163" s="16"/>
      <c r="I163" s="16"/>
      <c r="J163" s="16"/>
      <c r="K163" s="16"/>
      <c r="L163" s="16"/>
      <c r="M163" s="16"/>
      <c r="N163" s="7"/>
      <c r="O163" s="16"/>
      <c r="P163" s="16"/>
      <c r="Q163" s="16"/>
      <c r="R163" s="16"/>
      <c r="S163" s="7"/>
      <c r="T163" s="14"/>
      <c r="U163" s="5"/>
      <c r="V163" s="4"/>
    </row>
    <row r="164" spans="1:22" ht="14.5" customHeight="1" outlineLevel="2">
      <c r="A164" s="4"/>
      <c r="B164" s="5"/>
      <c r="C164" s="5"/>
      <c r="D164" s="14"/>
      <c r="E164" s="7"/>
      <c r="F164" s="52" t="s">
        <v>158</v>
      </c>
      <c r="G164" s="16"/>
      <c r="H164" s="16"/>
      <c r="I164" s="16"/>
      <c r="J164" s="16"/>
      <c r="K164" s="16"/>
      <c r="L164" s="16"/>
      <c r="M164" s="16"/>
      <c r="N164" s="7"/>
      <c r="O164" s="16"/>
      <c r="P164" s="16"/>
      <c r="Q164" s="16"/>
      <c r="R164" s="16"/>
      <c r="S164" s="7"/>
      <c r="T164" s="14"/>
      <c r="U164" s="5"/>
      <c r="V164" s="4"/>
    </row>
    <row r="165" spans="1:22" ht="14.5" customHeight="1" outlineLevel="2">
      <c r="A165" s="4"/>
      <c r="B165" s="5"/>
      <c r="C165" s="5"/>
      <c r="D165" s="14"/>
      <c r="E165" s="7"/>
      <c r="F165" s="52"/>
      <c r="G165" s="16"/>
      <c r="H165" s="16"/>
      <c r="I165" s="16"/>
      <c r="J165" s="16"/>
      <c r="K165" s="16"/>
      <c r="L165" s="16"/>
      <c r="M165" s="16"/>
      <c r="N165" s="7"/>
      <c r="O165" s="16"/>
      <c r="P165" s="16"/>
      <c r="Q165" s="16"/>
      <c r="R165" s="16"/>
      <c r="S165" s="7"/>
      <c r="T165" s="14"/>
      <c r="U165" s="5"/>
      <c r="V165" s="4"/>
    </row>
    <row r="166" spans="1:22" ht="14.5" customHeight="1" outlineLevel="2">
      <c r="A166" s="4"/>
      <c r="B166" s="5"/>
      <c r="C166" s="5"/>
      <c r="D166" s="14"/>
      <c r="E166" s="7"/>
      <c r="G166" s="58"/>
      <c r="H166" s="59" t="s">
        <v>68</v>
      </c>
      <c r="I166" s="59" t="s">
        <v>69</v>
      </c>
      <c r="J166" s="59" t="s">
        <v>70</v>
      </c>
      <c r="K166" s="59" t="s">
        <v>71</v>
      </c>
      <c r="L166" s="16"/>
      <c r="M166" s="16"/>
      <c r="N166" s="7"/>
      <c r="O166" s="16"/>
      <c r="P166" s="16"/>
      <c r="Q166" s="16"/>
      <c r="R166" s="16"/>
      <c r="S166" s="7"/>
      <c r="T166" s="14"/>
      <c r="U166" s="5"/>
      <c r="V166" s="4"/>
    </row>
    <row r="167" spans="1:22" ht="14.5" customHeight="1" outlineLevel="2">
      <c r="A167" s="4"/>
      <c r="B167" s="5"/>
      <c r="C167" s="5"/>
      <c r="D167" s="14"/>
      <c r="E167" s="7"/>
      <c r="G167" s="60" t="s">
        <v>159</v>
      </c>
      <c r="H167" s="88">
        <v>7.43</v>
      </c>
      <c r="I167" s="88">
        <v>10.4</v>
      </c>
      <c r="J167" s="88">
        <v>4.1399999999999997</v>
      </c>
      <c r="K167" s="88">
        <v>4.04</v>
      </c>
      <c r="L167" s="16"/>
      <c r="M167" s="16"/>
      <c r="N167" s="7"/>
      <c r="O167" s="92">
        <v>7.43</v>
      </c>
      <c r="P167" s="93">
        <v>10.4</v>
      </c>
      <c r="Q167" s="93">
        <v>4.1399999999999997</v>
      </c>
      <c r="R167" s="94">
        <v>4.04</v>
      </c>
      <c r="S167" s="7"/>
      <c r="T167" s="14"/>
      <c r="U167" s="5"/>
      <c r="V167" s="4"/>
    </row>
    <row r="168" spans="1:22" ht="14.5" customHeight="1" outlineLevel="2">
      <c r="A168" s="4"/>
      <c r="B168" s="5"/>
      <c r="C168" s="5"/>
      <c r="D168" s="14"/>
      <c r="E168" s="7"/>
      <c r="G168" s="52"/>
      <c r="H168" s="16"/>
      <c r="I168" s="16"/>
      <c r="J168" s="16"/>
      <c r="K168" s="16"/>
      <c r="L168" s="16"/>
      <c r="M168" s="16"/>
      <c r="N168" s="7"/>
      <c r="O168" s="16"/>
      <c r="P168" s="16"/>
      <c r="Q168" s="16"/>
      <c r="R168" s="16"/>
      <c r="S168" s="7"/>
      <c r="T168" s="14"/>
      <c r="U168" s="5"/>
      <c r="V168" s="4"/>
    </row>
    <row r="169" spans="1:22" ht="14.5" customHeight="1" outlineLevel="2">
      <c r="A169" s="4"/>
      <c r="B169" s="5"/>
      <c r="C169" s="5"/>
      <c r="D169" s="14"/>
      <c r="E169" s="7"/>
      <c r="G169" s="56"/>
      <c r="H169" s="56" t="s">
        <v>160</v>
      </c>
      <c r="I169" s="56" t="s">
        <v>14</v>
      </c>
      <c r="J169" s="56" t="s">
        <v>161</v>
      </c>
      <c r="K169" s="16"/>
      <c r="L169" s="16"/>
      <c r="M169" s="16"/>
      <c r="N169" s="7"/>
      <c r="O169" s="16"/>
      <c r="P169" s="16"/>
      <c r="Q169" s="16"/>
      <c r="R169" s="16"/>
      <c r="S169" s="7"/>
      <c r="T169" s="14"/>
      <c r="U169" s="5"/>
      <c r="V169" s="4"/>
    </row>
    <row r="170" spans="1:22" ht="14.5" customHeight="1" outlineLevel="2">
      <c r="A170" s="4"/>
      <c r="B170" s="5"/>
      <c r="C170" s="5"/>
      <c r="D170" s="14"/>
      <c r="E170" s="7"/>
      <c r="G170" s="57" t="s">
        <v>162</v>
      </c>
      <c r="H170" s="90">
        <f>I170*0.5</f>
        <v>20</v>
      </c>
      <c r="I170" s="90">
        <v>40</v>
      </c>
      <c r="J170" s="90">
        <f>I170*1.5</f>
        <v>60</v>
      </c>
      <c r="K170" s="16"/>
      <c r="L170" s="16"/>
      <c r="M170" s="16"/>
      <c r="N170" s="7"/>
      <c r="O170" s="92">
        <v>20</v>
      </c>
      <c r="P170" s="93">
        <v>40</v>
      </c>
      <c r="Q170" s="94">
        <v>60</v>
      </c>
      <c r="R170" s="16"/>
      <c r="S170" s="7"/>
      <c r="T170" s="14"/>
      <c r="U170" s="5"/>
      <c r="V170" s="4"/>
    </row>
    <row r="171" spans="1:22" ht="14.5" customHeight="1" outlineLevel="2">
      <c r="A171" s="4"/>
      <c r="B171" s="5"/>
      <c r="C171" s="5"/>
      <c r="D171" s="14"/>
      <c r="E171" s="7"/>
      <c r="F171" s="52"/>
      <c r="G171" s="16"/>
      <c r="H171" s="16"/>
      <c r="I171" s="16"/>
      <c r="J171" s="16"/>
      <c r="K171" s="16"/>
      <c r="L171" s="16"/>
      <c r="M171" s="16"/>
      <c r="N171" s="7"/>
      <c r="O171" s="16"/>
      <c r="P171" s="16"/>
      <c r="Q171" s="16"/>
      <c r="R171" s="16"/>
      <c r="S171" s="7"/>
      <c r="T171" s="14"/>
      <c r="U171" s="5"/>
      <c r="V171" s="4"/>
    </row>
    <row r="172" spans="1:22" ht="14.5" customHeight="1" outlineLevel="2">
      <c r="A172" s="4"/>
      <c r="B172" s="5"/>
      <c r="C172" s="5"/>
      <c r="D172" s="14"/>
      <c r="E172" s="7"/>
      <c r="F172" s="52"/>
      <c r="G172" s="16"/>
      <c r="H172" s="16"/>
      <c r="I172" s="16"/>
      <c r="J172" s="16"/>
      <c r="K172" s="16"/>
      <c r="L172" s="16"/>
      <c r="M172" s="16"/>
      <c r="N172" s="7"/>
      <c r="O172" s="16"/>
      <c r="P172" s="16"/>
      <c r="Q172" s="16"/>
      <c r="R172" s="16"/>
      <c r="S172" s="7"/>
      <c r="T172" s="14"/>
      <c r="U172" s="5"/>
      <c r="V172" s="4"/>
    </row>
    <row r="173" spans="1:22" ht="14.5" customHeight="1" outlineLevel="2">
      <c r="A173" s="4"/>
      <c r="B173" s="5"/>
      <c r="C173" s="5"/>
      <c r="D173" s="14"/>
      <c r="E173" s="7"/>
      <c r="F173" s="52"/>
      <c r="G173" s="16"/>
      <c r="H173" s="16"/>
      <c r="I173" s="16"/>
      <c r="J173" s="16"/>
      <c r="K173" s="16"/>
      <c r="L173" s="16"/>
      <c r="M173" s="16"/>
      <c r="N173" s="7"/>
      <c r="O173" s="16"/>
      <c r="P173" s="16"/>
      <c r="Q173" s="16"/>
      <c r="R173" s="16"/>
      <c r="S173" s="7"/>
      <c r="T173" s="14"/>
      <c r="U173" s="5"/>
      <c r="V173" s="4"/>
    </row>
    <row r="174" spans="1:22" ht="14.5" customHeight="1" outlineLevel="2">
      <c r="A174" s="4"/>
      <c r="B174" s="5"/>
      <c r="C174" s="5"/>
      <c r="D174" s="14"/>
      <c r="E174" s="7"/>
      <c r="F174" s="52"/>
      <c r="G174" s="16"/>
      <c r="H174" s="16"/>
      <c r="I174" s="16"/>
      <c r="J174" s="16"/>
      <c r="K174" s="16"/>
      <c r="L174" s="16"/>
      <c r="M174" s="16"/>
      <c r="N174" s="7"/>
      <c r="O174" s="16"/>
      <c r="P174" s="16"/>
      <c r="Q174" s="16"/>
      <c r="R174" s="16"/>
      <c r="S174" s="7"/>
      <c r="T174" s="14"/>
      <c r="U174" s="5"/>
      <c r="V174" s="4"/>
    </row>
    <row r="175" spans="1:22" ht="14.5" customHeight="1" outlineLevel="2">
      <c r="A175" s="4"/>
      <c r="B175" s="5"/>
      <c r="C175" s="5"/>
      <c r="D175" s="14"/>
      <c r="E175" s="7"/>
      <c r="F175" s="52"/>
      <c r="G175" s="16"/>
      <c r="H175" s="16"/>
      <c r="I175" s="16"/>
      <c r="J175" s="16"/>
      <c r="K175" s="16"/>
      <c r="L175" s="16"/>
      <c r="M175" s="16"/>
      <c r="N175" s="7"/>
      <c r="O175" s="16"/>
      <c r="P175" s="16"/>
      <c r="Q175" s="16"/>
      <c r="R175" s="16"/>
      <c r="S175" s="7"/>
      <c r="T175" s="14"/>
      <c r="U175" s="5"/>
      <c r="V175" s="4"/>
    </row>
    <row r="176" spans="1:22" ht="14.5" customHeight="1" outlineLevel="2">
      <c r="A176" s="4"/>
      <c r="B176" s="5"/>
      <c r="C176" s="5"/>
      <c r="D176" s="14"/>
      <c r="E176" s="7"/>
      <c r="F176" s="52"/>
      <c r="G176" s="16"/>
      <c r="H176" s="16"/>
      <c r="I176" s="16"/>
      <c r="J176" s="16"/>
      <c r="K176" s="16"/>
      <c r="L176" s="16"/>
      <c r="M176" s="16"/>
      <c r="N176" s="7"/>
      <c r="O176" s="16"/>
      <c r="P176" s="16"/>
      <c r="Q176" s="16"/>
      <c r="R176" s="16"/>
      <c r="S176" s="7"/>
      <c r="T176" s="14"/>
      <c r="U176" s="5"/>
      <c r="V176" s="4"/>
    </row>
    <row r="177" spans="1:22" ht="14.5" customHeight="1" outlineLevel="2">
      <c r="A177" s="4"/>
      <c r="B177" s="5"/>
      <c r="C177" s="5"/>
      <c r="D177" s="14"/>
      <c r="E177" s="7"/>
      <c r="F177" s="52"/>
      <c r="G177" s="16"/>
      <c r="H177" s="16"/>
      <c r="I177" s="16"/>
      <c r="J177" s="16"/>
      <c r="K177" s="16"/>
      <c r="L177" s="16"/>
      <c r="M177" s="16"/>
      <c r="N177" s="7"/>
      <c r="O177" s="16"/>
      <c r="P177" s="16"/>
      <c r="Q177" s="16"/>
      <c r="R177" s="16"/>
      <c r="S177" s="7"/>
      <c r="T177" s="14"/>
      <c r="U177" s="5"/>
      <c r="V177" s="4"/>
    </row>
    <row r="178" spans="1:22" ht="14.5" customHeight="1" outlineLevel="2">
      <c r="A178" s="4"/>
      <c r="B178" s="5"/>
      <c r="C178" s="5"/>
      <c r="D178" s="14"/>
      <c r="E178" s="7"/>
      <c r="F178" s="52"/>
      <c r="G178" s="16"/>
      <c r="H178" s="16"/>
      <c r="I178" s="16"/>
      <c r="J178" s="16"/>
      <c r="K178" s="16"/>
      <c r="L178" s="16"/>
      <c r="M178" s="16"/>
      <c r="N178" s="7"/>
      <c r="O178" s="16"/>
      <c r="P178" s="16"/>
      <c r="Q178" s="16"/>
      <c r="R178" s="16"/>
      <c r="S178" s="7"/>
      <c r="T178" s="14"/>
      <c r="U178" s="5"/>
      <c r="V178" s="4"/>
    </row>
    <row r="179" spans="1:22" ht="14.5" customHeight="1" outlineLevel="2">
      <c r="A179" s="4"/>
      <c r="B179" s="5"/>
      <c r="C179" s="5"/>
      <c r="D179" s="14"/>
      <c r="E179" s="7"/>
      <c r="F179" s="52"/>
      <c r="G179" s="16"/>
      <c r="H179" s="16"/>
      <c r="I179" s="16"/>
      <c r="J179" s="16"/>
      <c r="K179" s="16"/>
      <c r="L179" s="16"/>
      <c r="M179" s="16"/>
      <c r="N179" s="7"/>
      <c r="O179" s="16"/>
      <c r="P179" s="16"/>
      <c r="Q179" s="16"/>
      <c r="R179" s="16"/>
      <c r="S179" s="7"/>
      <c r="T179" s="14"/>
      <c r="U179" s="5"/>
      <c r="V179" s="4"/>
    </row>
    <row r="180" spans="1:22" ht="14.5" customHeight="1" outlineLevel="2">
      <c r="A180" s="4"/>
      <c r="B180" s="5"/>
      <c r="C180" s="5"/>
      <c r="D180" s="14"/>
      <c r="E180" s="7"/>
      <c r="F180" s="52"/>
      <c r="G180" s="16"/>
      <c r="H180" s="16"/>
      <c r="I180" s="16"/>
      <c r="J180" s="16"/>
      <c r="K180" s="16"/>
      <c r="L180" s="16"/>
      <c r="M180" s="16"/>
      <c r="N180" s="7"/>
      <c r="O180" s="16"/>
      <c r="P180" s="16"/>
      <c r="Q180" s="16"/>
      <c r="R180" s="16"/>
      <c r="S180" s="7"/>
      <c r="T180" s="14"/>
      <c r="U180" s="5"/>
      <c r="V180" s="4"/>
    </row>
    <row r="181" spans="1:22" ht="14.5" customHeight="1" outlineLevel="2">
      <c r="A181" s="4"/>
      <c r="B181" s="5"/>
      <c r="C181" s="5"/>
      <c r="D181" s="14"/>
      <c r="E181" s="7"/>
      <c r="F181" s="52"/>
      <c r="G181" s="16"/>
      <c r="H181" s="16"/>
      <c r="I181" s="16"/>
      <c r="J181" s="16"/>
      <c r="K181" s="16"/>
      <c r="L181" s="16"/>
      <c r="M181" s="16"/>
      <c r="N181" s="7"/>
      <c r="O181" s="16"/>
      <c r="P181" s="16"/>
      <c r="Q181" s="16"/>
      <c r="R181" s="16"/>
      <c r="S181" s="7"/>
      <c r="T181" s="14"/>
      <c r="U181" s="5"/>
      <c r="V181" s="4"/>
    </row>
    <row r="182" spans="1:22" ht="14.5" customHeight="1" outlineLevel="2">
      <c r="A182" s="4"/>
      <c r="B182" s="5"/>
      <c r="C182" s="5"/>
      <c r="D182" s="14"/>
      <c r="E182" s="7"/>
      <c r="F182" s="52"/>
      <c r="G182" s="16"/>
      <c r="H182" s="16"/>
      <c r="I182" s="16"/>
      <c r="J182" s="16"/>
      <c r="K182" s="16"/>
      <c r="L182" s="16"/>
      <c r="M182" s="16"/>
      <c r="N182" s="7"/>
      <c r="O182" s="16"/>
      <c r="P182" s="16"/>
      <c r="Q182" s="16"/>
      <c r="R182" s="16"/>
      <c r="S182" s="7"/>
      <c r="T182" s="14"/>
      <c r="U182" s="5"/>
      <c r="V182" s="4"/>
    </row>
    <row r="183" spans="1:22" ht="14.5" customHeight="1" outlineLevel="2">
      <c r="A183" s="4"/>
      <c r="B183" s="5"/>
      <c r="C183" s="5"/>
      <c r="D183" s="14"/>
      <c r="E183" s="7"/>
      <c r="F183" s="52"/>
      <c r="G183" s="16"/>
      <c r="H183" s="16"/>
      <c r="I183" s="16"/>
      <c r="J183" s="16"/>
      <c r="K183" s="16"/>
      <c r="L183" s="16"/>
      <c r="M183" s="16"/>
      <c r="N183" s="7"/>
      <c r="O183" s="16"/>
      <c r="P183" s="16"/>
      <c r="Q183" s="16"/>
      <c r="R183" s="16"/>
      <c r="S183" s="7"/>
      <c r="T183" s="14"/>
      <c r="U183" s="5"/>
      <c r="V183" s="4"/>
    </row>
    <row r="184" spans="1:22" ht="14.5" customHeight="1" outlineLevel="2">
      <c r="A184" s="4"/>
      <c r="B184" s="5"/>
      <c r="C184" s="5"/>
      <c r="D184" s="14"/>
      <c r="E184" s="7"/>
      <c r="F184" s="52"/>
      <c r="G184" s="16"/>
      <c r="H184" s="16"/>
      <c r="I184" s="16"/>
      <c r="J184" s="16"/>
      <c r="K184" s="16"/>
      <c r="L184" s="16"/>
      <c r="M184" s="16"/>
      <c r="N184" s="7"/>
      <c r="O184" s="16"/>
      <c r="P184" s="16"/>
      <c r="Q184" s="16"/>
      <c r="R184" s="16"/>
      <c r="S184" s="7"/>
      <c r="T184" s="14"/>
      <c r="U184" s="5"/>
      <c r="V184" s="4"/>
    </row>
    <row r="185" spans="1:22" ht="14.5" customHeight="1" outlineLevel="2">
      <c r="A185" s="4"/>
      <c r="B185" s="5"/>
      <c r="C185" s="5"/>
      <c r="D185" s="14"/>
      <c r="E185" s="7"/>
      <c r="F185" s="52"/>
      <c r="G185" s="16"/>
      <c r="H185" s="16"/>
      <c r="I185" s="16"/>
      <c r="J185" s="16"/>
      <c r="K185" s="16"/>
      <c r="L185" s="16"/>
      <c r="M185" s="16"/>
      <c r="N185" s="7"/>
      <c r="O185" s="16"/>
      <c r="P185" s="16"/>
      <c r="Q185" s="16"/>
      <c r="R185" s="16"/>
      <c r="S185" s="7"/>
      <c r="T185" s="14"/>
      <c r="U185" s="5"/>
      <c r="V185" s="4"/>
    </row>
    <row r="186" spans="1:22" ht="14.5" customHeight="1" outlineLevel="2">
      <c r="A186" s="4"/>
      <c r="B186" s="5"/>
      <c r="C186" s="5"/>
      <c r="D186" s="14"/>
      <c r="E186" s="7"/>
      <c r="F186" s="52"/>
      <c r="G186" s="16"/>
      <c r="H186" s="16"/>
      <c r="I186" s="16"/>
      <c r="J186" s="16"/>
      <c r="K186" s="16"/>
      <c r="L186" s="16"/>
      <c r="M186" s="16"/>
      <c r="N186" s="7"/>
      <c r="O186" s="16"/>
      <c r="P186" s="16"/>
      <c r="Q186" s="16"/>
      <c r="R186" s="16"/>
      <c r="S186" s="7"/>
      <c r="T186" s="14"/>
      <c r="U186" s="5"/>
      <c r="V186" s="4"/>
    </row>
    <row r="187" spans="1:22" ht="14.5" customHeight="1" outlineLevel="2">
      <c r="A187" s="4"/>
      <c r="B187" s="5"/>
      <c r="C187" s="5"/>
      <c r="D187" s="14"/>
      <c r="E187" s="7"/>
      <c r="F187" s="52"/>
      <c r="G187" s="16"/>
      <c r="H187" s="16"/>
      <c r="I187" s="16"/>
      <c r="J187" s="16"/>
      <c r="K187" s="16"/>
      <c r="L187" s="16"/>
      <c r="M187" s="16"/>
      <c r="N187" s="7"/>
      <c r="O187" s="16"/>
      <c r="P187" s="16"/>
      <c r="Q187" s="16"/>
      <c r="R187" s="16"/>
      <c r="S187" s="7"/>
      <c r="T187" s="14"/>
      <c r="U187" s="5"/>
      <c r="V187" s="4"/>
    </row>
    <row r="188" spans="1:22" ht="14.5" customHeight="1" outlineLevel="2">
      <c r="A188" s="4"/>
      <c r="B188" s="5"/>
      <c r="C188" s="5"/>
      <c r="D188" s="14"/>
      <c r="E188" s="7"/>
      <c r="F188" s="52"/>
      <c r="G188" s="16"/>
      <c r="H188" s="16"/>
      <c r="I188" s="16"/>
      <c r="J188" s="16"/>
      <c r="K188" s="16"/>
      <c r="L188" s="16"/>
      <c r="M188" s="16"/>
      <c r="N188" s="7"/>
      <c r="O188" s="16"/>
      <c r="P188" s="16"/>
      <c r="Q188" s="16"/>
      <c r="R188" s="16"/>
      <c r="S188" s="7"/>
      <c r="T188" s="14"/>
      <c r="U188" s="5"/>
      <c r="V188" s="4"/>
    </row>
    <row r="189" spans="1:22" ht="14.5" customHeight="1" outlineLevel="2">
      <c r="A189" s="4"/>
      <c r="B189" s="5"/>
      <c r="C189" s="5"/>
      <c r="D189" s="14"/>
      <c r="E189" s="7"/>
      <c r="F189" s="52"/>
      <c r="G189" s="16"/>
      <c r="H189" s="16"/>
      <c r="I189" s="16"/>
      <c r="J189" s="16"/>
      <c r="K189" s="16"/>
      <c r="L189" s="16"/>
      <c r="M189" s="16"/>
      <c r="N189" s="7"/>
      <c r="O189" s="16"/>
      <c r="P189" s="16"/>
      <c r="Q189" s="16"/>
      <c r="R189" s="16"/>
      <c r="S189" s="7"/>
      <c r="T189" s="14"/>
      <c r="U189" s="5"/>
      <c r="V189" s="4"/>
    </row>
    <row r="190" spans="1:22" ht="14.5" customHeight="1" outlineLevel="2">
      <c r="A190" s="4"/>
      <c r="B190" s="5"/>
      <c r="C190" s="5"/>
      <c r="D190" s="14"/>
      <c r="E190" s="7"/>
      <c r="F190" s="52"/>
      <c r="G190" s="16"/>
      <c r="H190" s="16"/>
      <c r="I190" s="16"/>
      <c r="J190" s="16"/>
      <c r="K190" s="16"/>
      <c r="L190" s="16"/>
      <c r="M190" s="16"/>
      <c r="N190" s="7"/>
      <c r="O190" s="16"/>
      <c r="P190" s="16"/>
      <c r="Q190" s="16"/>
      <c r="R190" s="16"/>
      <c r="S190" s="7"/>
      <c r="T190" s="14"/>
      <c r="U190" s="5"/>
      <c r="V190" s="4"/>
    </row>
    <row r="191" spans="1:22" ht="14.5" customHeight="1" outlineLevel="2">
      <c r="A191" s="4"/>
      <c r="B191" s="5"/>
      <c r="C191" s="5"/>
      <c r="D191" s="14"/>
      <c r="E191" s="7"/>
      <c r="F191" s="52"/>
      <c r="G191" s="16"/>
      <c r="H191" s="16"/>
      <c r="I191" s="16"/>
      <c r="J191" s="16"/>
      <c r="K191" s="16"/>
      <c r="L191" s="16"/>
      <c r="M191" s="16"/>
      <c r="N191" s="7"/>
      <c r="O191" s="16"/>
      <c r="P191" s="16"/>
      <c r="Q191" s="16"/>
      <c r="R191" s="16"/>
      <c r="S191" s="7"/>
      <c r="T191" s="14"/>
      <c r="U191" s="5"/>
      <c r="V191" s="4"/>
    </row>
    <row r="192" spans="1:22" ht="14.5" customHeight="1" outlineLevel="2">
      <c r="A192" s="4"/>
      <c r="B192" s="5"/>
      <c r="C192" s="5"/>
      <c r="D192" s="14"/>
      <c r="E192" s="7"/>
      <c r="F192" s="52" t="s">
        <v>4</v>
      </c>
      <c r="G192" s="16"/>
      <c r="H192" s="16"/>
      <c r="I192" s="16"/>
      <c r="J192" s="16"/>
      <c r="K192" s="16"/>
      <c r="L192" s="16"/>
      <c r="M192" s="16"/>
      <c r="N192" s="7"/>
      <c r="O192" s="16"/>
      <c r="P192" s="16"/>
      <c r="Q192" s="16"/>
      <c r="R192" s="16"/>
      <c r="S192" s="7"/>
      <c r="T192" s="14"/>
      <c r="U192" s="5"/>
      <c r="V192" s="4"/>
    </row>
    <row r="193" spans="1:22" ht="14.5" customHeight="1" outlineLevel="2">
      <c r="A193" s="4"/>
      <c r="B193" s="5"/>
      <c r="C193" s="5"/>
      <c r="D193" s="14"/>
      <c r="E193" s="7"/>
      <c r="F193" s="52"/>
      <c r="G193" s="16"/>
      <c r="H193" s="16"/>
      <c r="I193" s="16"/>
      <c r="J193" s="16"/>
      <c r="K193" s="16"/>
      <c r="L193" s="16"/>
      <c r="M193" s="16"/>
      <c r="N193" s="7"/>
      <c r="O193" s="16"/>
      <c r="P193" s="16"/>
      <c r="Q193" s="16"/>
      <c r="R193" s="16"/>
      <c r="S193" s="7"/>
      <c r="T193" s="14"/>
      <c r="U193" s="5"/>
      <c r="V193" s="4"/>
    </row>
    <row r="194" spans="1:22" outlineLevel="2">
      <c r="A194" s="4"/>
      <c r="B194" s="5"/>
      <c r="C194" s="5"/>
      <c r="D194" s="14"/>
      <c r="E194" s="7"/>
      <c r="G194" s="58"/>
      <c r="H194" s="59" t="s">
        <v>68</v>
      </c>
      <c r="I194" s="59" t="s">
        <v>69</v>
      </c>
      <c r="J194" s="59" t="s">
        <v>70</v>
      </c>
      <c r="K194" s="59" t="s">
        <v>71</v>
      </c>
      <c r="N194" s="7"/>
      <c r="S194" s="7"/>
      <c r="T194" s="14"/>
      <c r="U194" s="5"/>
      <c r="V194" s="4"/>
    </row>
    <row r="195" spans="1:22" outlineLevel="2">
      <c r="A195" s="4"/>
      <c r="B195" s="5"/>
      <c r="C195" s="5"/>
      <c r="D195" s="14"/>
      <c r="E195" s="7"/>
      <c r="G195" s="60" t="s">
        <v>105</v>
      </c>
      <c r="H195" s="88">
        <v>17000</v>
      </c>
      <c r="I195" s="88">
        <v>8500</v>
      </c>
      <c r="J195" s="88">
        <v>22500</v>
      </c>
      <c r="K195" s="88">
        <v>4500</v>
      </c>
      <c r="N195" s="7"/>
      <c r="O195" s="92">
        <v>17000</v>
      </c>
      <c r="P195" s="93">
        <v>8500</v>
      </c>
      <c r="Q195" s="93">
        <v>22500</v>
      </c>
      <c r="R195" s="94">
        <v>4500</v>
      </c>
      <c r="S195" s="7"/>
      <c r="T195" s="14"/>
      <c r="U195" s="5"/>
      <c r="V195" s="4"/>
    </row>
    <row r="196" spans="1:22" outlineLevel="2">
      <c r="A196" s="4"/>
      <c r="B196" s="5"/>
      <c r="C196" s="5"/>
      <c r="D196" s="14"/>
      <c r="E196" s="7"/>
      <c r="N196" s="7"/>
      <c r="O196" s="16"/>
      <c r="P196" s="16"/>
      <c r="Q196" s="16"/>
      <c r="R196" s="16"/>
      <c r="S196" s="7"/>
      <c r="T196" s="14"/>
      <c r="U196" s="5"/>
      <c r="V196" s="4"/>
    </row>
    <row r="197" spans="1:22" outlineLevel="2">
      <c r="A197" s="4"/>
      <c r="B197" s="5"/>
      <c r="C197" s="5"/>
      <c r="D197" s="14"/>
      <c r="E197" s="7"/>
      <c r="F197" s="18"/>
      <c r="N197" s="7"/>
      <c r="O197" s="16"/>
      <c r="P197" s="16"/>
      <c r="Q197" s="16"/>
      <c r="R197" s="16"/>
      <c r="S197" s="7"/>
      <c r="T197" s="14"/>
      <c r="U197" s="5"/>
      <c r="V197" s="4"/>
    </row>
    <row r="198" spans="1:22" outlineLevel="2">
      <c r="A198" s="4"/>
      <c r="B198" s="5"/>
      <c r="C198" s="5"/>
      <c r="D198" s="14"/>
      <c r="E198" s="7"/>
      <c r="F198" s="52" t="s">
        <v>163</v>
      </c>
      <c r="N198" s="7"/>
      <c r="O198" s="16"/>
      <c r="P198" s="16"/>
      <c r="Q198" s="16"/>
      <c r="R198" s="16"/>
      <c r="S198" s="7"/>
      <c r="T198" s="14"/>
      <c r="U198" s="5"/>
      <c r="V198" s="4"/>
    </row>
    <row r="199" spans="1:22" outlineLevel="2">
      <c r="A199" s="4"/>
      <c r="B199" s="5"/>
      <c r="C199" s="5"/>
      <c r="D199" s="14"/>
      <c r="E199" s="7"/>
      <c r="N199" s="7"/>
      <c r="O199" s="16"/>
      <c r="P199" s="16"/>
      <c r="Q199" s="16"/>
      <c r="R199" s="16"/>
      <c r="S199" s="7"/>
      <c r="T199" s="14"/>
      <c r="U199" s="5"/>
      <c r="V199" s="4"/>
    </row>
    <row r="200" spans="1:22" outlineLevel="2">
      <c r="A200" s="4"/>
      <c r="B200" s="5"/>
      <c r="C200" s="5"/>
      <c r="D200" s="14"/>
      <c r="E200" s="7"/>
      <c r="G200" s="58"/>
      <c r="H200" s="59" t="s">
        <v>68</v>
      </c>
      <c r="I200" s="59" t="s">
        <v>69</v>
      </c>
      <c r="J200" s="59" t="s">
        <v>70</v>
      </c>
      <c r="K200" s="59" t="s">
        <v>71</v>
      </c>
      <c r="N200" s="7"/>
      <c r="O200" s="92">
        <v>0</v>
      </c>
      <c r="P200" s="93">
        <v>0</v>
      </c>
      <c r="Q200" s="93">
        <v>0</v>
      </c>
      <c r="R200" s="95">
        <v>7.027767926229342</v>
      </c>
      <c r="S200" s="7"/>
      <c r="T200" s="14"/>
      <c r="U200" s="5"/>
      <c r="V200" s="4"/>
    </row>
    <row r="201" spans="1:22" outlineLevel="2">
      <c r="A201" s="4"/>
      <c r="B201" s="5"/>
      <c r="C201" s="5"/>
      <c r="D201" s="14"/>
      <c r="E201" s="7"/>
      <c r="G201" s="60" t="s">
        <v>159</v>
      </c>
      <c r="H201" s="88">
        <v>0</v>
      </c>
      <c r="I201" s="88">
        <v>0</v>
      </c>
      <c r="J201" s="88">
        <v>0</v>
      </c>
      <c r="K201" s="91">
        <v>7.027767926229342</v>
      </c>
      <c r="N201" s="7"/>
      <c r="O201" s="16"/>
      <c r="P201" s="16"/>
      <c r="Q201" s="16"/>
      <c r="R201" s="16"/>
      <c r="S201" s="7"/>
      <c r="T201" s="14"/>
      <c r="U201" s="5"/>
      <c r="V201" s="4"/>
    </row>
    <row r="202" spans="1:22" outlineLevel="2">
      <c r="A202" s="4"/>
      <c r="B202" s="5"/>
      <c r="C202" s="5"/>
      <c r="D202" s="14"/>
      <c r="E202" s="7"/>
      <c r="G202" s="18"/>
      <c r="N202" s="7"/>
      <c r="O202" s="16"/>
      <c r="P202" s="16"/>
      <c r="Q202" s="16"/>
      <c r="R202" s="16"/>
      <c r="S202" s="7"/>
      <c r="T202" s="14"/>
      <c r="U202" s="5"/>
      <c r="V202" s="4"/>
    </row>
    <row r="203" spans="1:22" outlineLevel="2">
      <c r="A203" s="4"/>
      <c r="B203" s="5"/>
      <c r="C203" s="5"/>
      <c r="D203" s="14"/>
      <c r="E203" s="7"/>
      <c r="G203" s="56"/>
      <c r="H203" s="56" t="s">
        <v>160</v>
      </c>
      <c r="I203" s="56" t="s">
        <v>14</v>
      </c>
      <c r="J203" s="56" t="s">
        <v>161</v>
      </c>
      <c r="N203" s="7"/>
      <c r="O203" s="16"/>
      <c r="P203" s="16"/>
      <c r="Q203" s="16"/>
      <c r="R203" s="16"/>
      <c r="S203" s="7"/>
      <c r="T203" s="14"/>
      <c r="U203" s="5"/>
      <c r="V203" s="4"/>
    </row>
    <row r="204" spans="1:22" outlineLevel="2">
      <c r="A204" s="4"/>
      <c r="B204" s="5"/>
      <c r="C204" s="5"/>
      <c r="D204" s="14"/>
      <c r="E204" s="7"/>
      <c r="G204" s="57" t="s">
        <v>104</v>
      </c>
      <c r="H204" s="90">
        <f>I204*0.5</f>
        <v>25</v>
      </c>
      <c r="I204" s="90">
        <v>50</v>
      </c>
      <c r="J204" s="90">
        <f>I204*1.5</f>
        <v>75</v>
      </c>
      <c r="N204" s="7"/>
      <c r="O204" s="92">
        <v>25</v>
      </c>
      <c r="P204" s="93">
        <v>50</v>
      </c>
      <c r="Q204" s="94">
        <v>75</v>
      </c>
      <c r="R204" s="16"/>
      <c r="S204" s="7"/>
      <c r="T204" s="14"/>
      <c r="U204" s="5"/>
      <c r="V204" s="4"/>
    </row>
    <row r="205" spans="1:22" outlineLevel="2">
      <c r="A205" s="4"/>
      <c r="B205" s="5"/>
      <c r="C205" s="5"/>
      <c r="D205" s="14"/>
      <c r="E205" s="7"/>
      <c r="N205" s="7"/>
      <c r="O205" s="16"/>
      <c r="P205" s="16"/>
      <c r="Q205" s="16"/>
      <c r="R205" s="16"/>
      <c r="S205" s="7"/>
      <c r="T205" s="14"/>
      <c r="U205" s="5"/>
      <c r="V205" s="4"/>
    </row>
    <row r="206" spans="1:22" outlineLevel="2">
      <c r="A206" s="4"/>
      <c r="B206" s="5"/>
      <c r="C206" s="5"/>
      <c r="D206" s="14"/>
      <c r="E206" s="7"/>
      <c r="N206" s="7"/>
      <c r="S206" s="7"/>
      <c r="T206" s="14"/>
      <c r="U206" s="5"/>
      <c r="V206" s="4"/>
    </row>
    <row r="207" spans="1:22" outlineLevel="2">
      <c r="A207" s="4"/>
      <c r="B207" s="5"/>
      <c r="C207" s="5"/>
      <c r="D207" s="14"/>
      <c r="E207" s="7"/>
      <c r="F207" s="52" t="s">
        <v>164</v>
      </c>
      <c r="N207" s="7"/>
      <c r="S207" s="7"/>
      <c r="T207" s="14"/>
      <c r="U207" s="5"/>
      <c r="V207" s="4"/>
    </row>
    <row r="208" spans="1:22" outlineLevel="2">
      <c r="A208" s="4"/>
      <c r="B208" s="5"/>
      <c r="C208" s="5"/>
      <c r="D208" s="14"/>
      <c r="E208" s="7"/>
      <c r="F208" s="52"/>
      <c r="N208" s="7"/>
      <c r="S208" s="7"/>
      <c r="T208" s="14"/>
      <c r="U208" s="5"/>
      <c r="V208" s="4"/>
    </row>
    <row r="209" spans="1:22" outlineLevel="2">
      <c r="A209" s="4"/>
      <c r="B209" s="5"/>
      <c r="C209" s="5"/>
      <c r="D209" s="14"/>
      <c r="E209" s="7"/>
      <c r="F209" s="52"/>
      <c r="G209" t="s">
        <v>200</v>
      </c>
      <c r="N209" s="7"/>
      <c r="S209" s="7"/>
      <c r="T209" s="14"/>
      <c r="U209" s="5"/>
      <c r="V209" s="4"/>
    </row>
    <row r="210" spans="1:22" outlineLevel="2">
      <c r="A210" s="4"/>
      <c r="B210" s="5"/>
      <c r="C210" s="5"/>
      <c r="D210" s="14"/>
      <c r="E210" s="7"/>
      <c r="F210" s="52"/>
      <c r="G210" t="s">
        <v>201</v>
      </c>
      <c r="N210" s="7"/>
      <c r="S210" s="7"/>
      <c r="T210" s="14"/>
      <c r="U210" s="5"/>
      <c r="V210" s="4"/>
    </row>
    <row r="211" spans="1:22" outlineLevel="2">
      <c r="A211" s="4"/>
      <c r="B211" s="5"/>
      <c r="C211" s="5"/>
      <c r="D211" s="14"/>
      <c r="E211" s="7"/>
      <c r="F211" s="52"/>
      <c r="G211" t="s">
        <v>169</v>
      </c>
      <c r="N211" s="7"/>
      <c r="S211" s="7"/>
      <c r="T211" s="14"/>
      <c r="U211" s="5"/>
      <c r="V211" s="4"/>
    </row>
    <row r="212" spans="1:22" outlineLevel="2">
      <c r="A212" s="4"/>
      <c r="B212" s="5"/>
      <c r="C212" s="5"/>
      <c r="D212" s="14"/>
      <c r="E212" s="7"/>
      <c r="F212" s="52"/>
      <c r="N212" s="7"/>
      <c r="S212" s="7"/>
      <c r="T212" s="14"/>
      <c r="U212" s="5"/>
      <c r="V212" s="4"/>
    </row>
    <row r="213" spans="1:22" outlineLevel="2">
      <c r="A213" s="4"/>
      <c r="B213" s="5"/>
      <c r="C213" s="5"/>
      <c r="D213" s="14"/>
      <c r="E213" s="7"/>
      <c r="G213" s="56"/>
      <c r="H213" s="56" t="s">
        <v>166</v>
      </c>
      <c r="I213" s="56" t="s">
        <v>167</v>
      </c>
      <c r="N213" s="7"/>
      <c r="S213" s="7"/>
      <c r="T213" s="14"/>
      <c r="U213" s="5"/>
      <c r="V213" s="4"/>
    </row>
    <row r="214" spans="1:22" outlineLevel="2">
      <c r="A214" s="4"/>
      <c r="B214" s="5"/>
      <c r="C214" s="5"/>
      <c r="D214" s="14"/>
      <c r="E214" s="7"/>
      <c r="G214" s="57" t="s">
        <v>168</v>
      </c>
      <c r="H214" s="89">
        <v>0.03</v>
      </c>
      <c r="I214" s="89">
        <v>5.1999999999999998E-2</v>
      </c>
      <c r="N214" s="7"/>
      <c r="O214" s="92">
        <v>0.03</v>
      </c>
      <c r="P214" s="94">
        <v>5.1999999999999998E-2</v>
      </c>
      <c r="S214" s="7"/>
      <c r="T214" s="14"/>
      <c r="U214" s="5"/>
      <c r="V214" s="4"/>
    </row>
    <row r="215" spans="1:22" outlineLevel="2">
      <c r="A215" s="4"/>
      <c r="B215" s="5"/>
      <c r="C215" s="5"/>
      <c r="D215" s="14"/>
      <c r="E215" s="7"/>
      <c r="N215" s="7"/>
      <c r="S215" s="7"/>
      <c r="T215" s="14"/>
      <c r="U215" s="5"/>
      <c r="V215" s="4"/>
    </row>
    <row r="216" spans="1:22" outlineLevel="2">
      <c r="A216" s="4"/>
      <c r="B216" s="5"/>
      <c r="C216" s="5"/>
      <c r="D216" s="14"/>
      <c r="E216" s="7"/>
      <c r="F216" s="52" t="s">
        <v>51</v>
      </c>
      <c r="N216" s="7"/>
      <c r="S216" s="7"/>
      <c r="T216" s="14"/>
      <c r="U216" s="5"/>
      <c r="V216" s="4"/>
    </row>
    <row r="217" spans="1:22" outlineLevel="2">
      <c r="A217" s="4"/>
      <c r="B217" s="5"/>
      <c r="C217" s="5"/>
      <c r="D217" s="14"/>
      <c r="E217" s="7"/>
      <c r="N217" s="7"/>
      <c r="S217" s="7"/>
      <c r="T217" s="14"/>
      <c r="U217" s="5"/>
      <c r="V217" s="4"/>
    </row>
    <row r="218" spans="1:22" outlineLevel="2">
      <c r="A218" s="4"/>
      <c r="B218" s="5"/>
      <c r="C218" s="5"/>
      <c r="D218" s="14"/>
      <c r="E218" s="7"/>
      <c r="G218" t="s">
        <v>202</v>
      </c>
      <c r="N218" s="7"/>
      <c r="S218" s="7"/>
      <c r="T218" s="14"/>
      <c r="U218" s="5"/>
      <c r="V218" s="4"/>
    </row>
    <row r="219" spans="1:22" outlineLevel="2">
      <c r="A219" s="4"/>
      <c r="B219" s="5"/>
      <c r="C219" s="5"/>
      <c r="D219" s="14"/>
      <c r="E219" s="7"/>
      <c r="G219" t="s">
        <v>203</v>
      </c>
      <c r="N219" s="7"/>
      <c r="S219" s="7"/>
      <c r="T219" s="14"/>
      <c r="U219" s="5"/>
      <c r="V219" s="4"/>
    </row>
    <row r="220" spans="1:22" outlineLevel="2">
      <c r="A220" s="4"/>
      <c r="B220" s="5"/>
      <c r="C220" s="5"/>
      <c r="D220" s="14"/>
      <c r="E220" s="7"/>
      <c r="G220" t="s">
        <v>285</v>
      </c>
      <c r="N220" s="7"/>
      <c r="S220" s="7"/>
      <c r="T220" s="14"/>
      <c r="U220" s="5"/>
      <c r="V220" s="4"/>
    </row>
    <row r="221" spans="1:22" outlineLevel="2">
      <c r="A221" s="4"/>
      <c r="B221" s="5"/>
      <c r="C221" s="5"/>
      <c r="D221" s="14"/>
      <c r="E221" s="7"/>
      <c r="G221" t="s">
        <v>286</v>
      </c>
      <c r="N221" s="7"/>
      <c r="S221" s="7"/>
      <c r="T221" s="14"/>
      <c r="U221" s="5"/>
      <c r="V221" s="4"/>
    </row>
    <row r="222" spans="1:22" outlineLevel="2">
      <c r="A222" s="4"/>
      <c r="B222" s="5"/>
      <c r="C222" s="5"/>
      <c r="D222" s="14"/>
      <c r="E222" s="7"/>
      <c r="F222" s="18"/>
      <c r="N222" s="7"/>
      <c r="S222" s="7"/>
      <c r="T222" s="14"/>
      <c r="U222" s="5"/>
      <c r="V222" s="4"/>
    </row>
    <row r="223" spans="1:22" outlineLevel="2">
      <c r="A223" s="4"/>
      <c r="B223" s="5"/>
      <c r="C223" s="5"/>
      <c r="D223" s="14"/>
      <c r="E223" s="7"/>
      <c r="F223" s="52" t="s">
        <v>165</v>
      </c>
      <c r="N223" s="7"/>
      <c r="S223" s="7"/>
      <c r="T223" s="14"/>
      <c r="U223" s="5"/>
      <c r="V223" s="4"/>
    </row>
    <row r="224" spans="1:22" outlineLevel="2">
      <c r="A224" s="4"/>
      <c r="B224" s="5"/>
      <c r="C224" s="5"/>
      <c r="D224" s="14"/>
      <c r="E224" s="7"/>
      <c r="F224" s="18"/>
      <c r="N224" s="7"/>
      <c r="S224" s="7"/>
      <c r="T224" s="14"/>
      <c r="U224" s="5"/>
      <c r="V224" s="4"/>
    </row>
    <row r="225" spans="1:22" outlineLevel="2">
      <c r="A225" s="4"/>
      <c r="B225" s="5"/>
      <c r="C225" s="5"/>
      <c r="D225" s="14"/>
      <c r="E225" s="7"/>
      <c r="F225" s="18"/>
      <c r="G225" t="s">
        <v>181</v>
      </c>
      <c r="N225" s="7"/>
      <c r="S225" s="7"/>
      <c r="T225" s="14"/>
      <c r="U225" s="5"/>
      <c r="V225" s="4"/>
    </row>
    <row r="226" spans="1:22" outlineLevel="2">
      <c r="A226" s="4"/>
      <c r="B226" s="5"/>
      <c r="C226" s="5"/>
      <c r="D226" s="14"/>
      <c r="E226" s="7"/>
      <c r="F226" s="18"/>
      <c r="G226" t="s">
        <v>205</v>
      </c>
      <c r="N226" s="7"/>
      <c r="S226" s="7"/>
      <c r="T226" s="14"/>
      <c r="U226" s="5"/>
      <c r="V226" s="4"/>
    </row>
    <row r="227" spans="1:22" outlineLevel="2">
      <c r="A227" s="4"/>
      <c r="B227" s="5"/>
      <c r="C227" s="5"/>
      <c r="D227" s="14"/>
      <c r="E227" s="7"/>
      <c r="F227" s="18"/>
      <c r="G227" t="s">
        <v>204</v>
      </c>
      <c r="N227" s="7"/>
      <c r="S227" s="7"/>
      <c r="T227" s="14"/>
      <c r="U227" s="5"/>
      <c r="V227" s="4"/>
    </row>
    <row r="228" spans="1:22" outlineLevel="2">
      <c r="A228" s="4"/>
      <c r="B228" s="5"/>
      <c r="C228" s="5"/>
      <c r="D228" s="14"/>
      <c r="E228" s="7"/>
      <c r="F228" s="18"/>
      <c r="G228" s="61"/>
      <c r="H228" s="61"/>
      <c r="I228" s="61"/>
      <c r="J228" s="61"/>
      <c r="K228" s="61"/>
      <c r="N228" s="7"/>
      <c r="S228" s="7"/>
      <c r="T228" s="14"/>
      <c r="U228" s="5"/>
      <c r="V228" s="4"/>
    </row>
    <row r="229" spans="1:22" ht="14.5" customHeight="1" outlineLevel="2">
      <c r="A229" s="4"/>
      <c r="B229" s="5"/>
      <c r="C229" s="5"/>
      <c r="D229" s="14"/>
      <c r="E229" s="7"/>
      <c r="F229" s="18"/>
      <c r="G229" s="51" t="s">
        <v>170</v>
      </c>
      <c r="H229" s="176" t="s">
        <v>166</v>
      </c>
      <c r="I229" s="176"/>
      <c r="J229" s="176" t="s">
        <v>167</v>
      </c>
      <c r="K229" s="176"/>
      <c r="N229" s="7"/>
      <c r="S229" s="7"/>
      <c r="T229" s="14"/>
      <c r="U229" s="5"/>
      <c r="V229" s="4"/>
    </row>
    <row r="230" spans="1:22" ht="43.5" outlineLevel="2">
      <c r="A230" s="4"/>
      <c r="B230" s="5"/>
      <c r="C230" s="5"/>
      <c r="D230" s="14"/>
      <c r="E230" s="7"/>
      <c r="F230" s="18"/>
      <c r="G230" s="54"/>
      <c r="H230" s="54" t="s">
        <v>171</v>
      </c>
      <c r="I230" s="54" t="s">
        <v>172</v>
      </c>
      <c r="J230" s="62" t="s">
        <v>171</v>
      </c>
      <c r="K230" s="62" t="s">
        <v>172</v>
      </c>
      <c r="N230" s="7"/>
      <c r="S230" s="7"/>
      <c r="T230" s="14"/>
      <c r="U230" s="5"/>
      <c r="V230" s="4"/>
    </row>
    <row r="231" spans="1:22" outlineLevel="2">
      <c r="A231" s="4"/>
      <c r="B231" s="5"/>
      <c r="C231" s="5"/>
      <c r="D231" s="14"/>
      <c r="E231" s="7"/>
      <c r="F231" s="18"/>
      <c r="G231" s="51" t="s">
        <v>173</v>
      </c>
      <c r="H231" s="51">
        <v>32.57</v>
      </c>
      <c r="I231" s="51">
        <v>0.8</v>
      </c>
      <c r="J231" s="51">
        <v>14.2</v>
      </c>
      <c r="K231" s="51">
        <v>0.1</v>
      </c>
      <c r="N231" s="7"/>
      <c r="S231" s="7"/>
      <c r="T231" s="14"/>
      <c r="U231" s="5"/>
      <c r="V231" s="4"/>
    </row>
    <row r="232" spans="1:22" outlineLevel="2">
      <c r="A232" s="4"/>
      <c r="B232" s="5"/>
      <c r="C232" s="5"/>
      <c r="D232" s="14"/>
      <c r="E232" s="7"/>
      <c r="F232" s="18"/>
      <c r="G232" s="51" t="s">
        <v>174</v>
      </c>
      <c r="H232" s="51">
        <v>32.57</v>
      </c>
      <c r="I232" s="51">
        <v>0.8</v>
      </c>
      <c r="J232" s="51">
        <v>28.9</v>
      </c>
      <c r="K232" s="51">
        <v>0.1</v>
      </c>
      <c r="N232" s="7"/>
      <c r="S232" s="7"/>
      <c r="T232" s="14"/>
      <c r="U232" s="5"/>
      <c r="V232" s="4"/>
    </row>
    <row r="233" spans="1:22" outlineLevel="2">
      <c r="A233" s="4"/>
      <c r="B233" s="5"/>
      <c r="C233" s="5"/>
      <c r="D233" s="14"/>
      <c r="E233" s="7"/>
      <c r="F233" s="18"/>
      <c r="G233" s="51" t="s">
        <v>175</v>
      </c>
      <c r="H233" s="51">
        <v>14.67</v>
      </c>
      <c r="I233" s="51">
        <v>0.5</v>
      </c>
      <c r="J233" s="51">
        <v>2.2999999999999998</v>
      </c>
      <c r="K233" s="51">
        <v>0.1</v>
      </c>
      <c r="N233" s="7"/>
      <c r="S233" s="7"/>
      <c r="T233" s="14"/>
      <c r="U233" s="5"/>
      <c r="V233" s="4"/>
    </row>
    <row r="234" spans="1:22" outlineLevel="2">
      <c r="A234" s="4"/>
      <c r="B234" s="5"/>
      <c r="C234" s="5"/>
      <c r="D234" s="14"/>
      <c r="E234" s="7"/>
      <c r="F234" s="18"/>
      <c r="G234" s="51" t="s">
        <v>176</v>
      </c>
      <c r="H234" s="51">
        <v>14.67</v>
      </c>
      <c r="I234" s="51">
        <v>0.5</v>
      </c>
      <c r="J234" s="51">
        <v>8.8000000000000007</v>
      </c>
      <c r="K234" s="51">
        <v>0.2</v>
      </c>
      <c r="N234" s="7"/>
      <c r="S234" s="7"/>
      <c r="T234" s="14"/>
      <c r="U234" s="5"/>
      <c r="V234" s="4"/>
    </row>
    <row r="235" spans="1:22" outlineLevel="2">
      <c r="A235" s="4"/>
      <c r="B235" s="5"/>
      <c r="C235" s="5"/>
      <c r="D235" s="14"/>
      <c r="E235" s="7"/>
      <c r="F235" s="18"/>
      <c r="G235" s="51" t="s">
        <v>177</v>
      </c>
      <c r="H235" s="51">
        <v>10.07</v>
      </c>
      <c r="I235" s="51">
        <v>0.3</v>
      </c>
      <c r="J235" s="51">
        <v>1.9</v>
      </c>
      <c r="K235" s="51">
        <v>0.2</v>
      </c>
      <c r="N235" s="7"/>
      <c r="S235" s="7"/>
      <c r="T235" s="14"/>
      <c r="U235" s="5"/>
      <c r="V235" s="4"/>
    </row>
    <row r="236" spans="1:22" outlineLevel="2">
      <c r="A236" s="4"/>
      <c r="B236" s="5"/>
      <c r="C236" s="5"/>
      <c r="D236" s="14"/>
      <c r="E236" s="7"/>
      <c r="F236" s="18"/>
      <c r="G236" s="51" t="s">
        <v>178</v>
      </c>
      <c r="H236" s="51">
        <v>10.07</v>
      </c>
      <c r="I236" s="51">
        <v>0.3</v>
      </c>
      <c r="J236" s="51">
        <v>1.9</v>
      </c>
      <c r="K236" s="51">
        <v>0.3</v>
      </c>
      <c r="N236" s="7"/>
      <c r="S236" s="7"/>
      <c r="T236" s="14"/>
      <c r="U236" s="5"/>
      <c r="V236" s="4"/>
    </row>
    <row r="237" spans="1:22" outlineLevel="2">
      <c r="A237" s="4"/>
      <c r="B237" s="5"/>
      <c r="C237" s="5"/>
      <c r="D237" s="14"/>
      <c r="E237" s="7"/>
      <c r="F237" s="18"/>
      <c r="G237" s="51" t="s">
        <v>179</v>
      </c>
      <c r="H237" s="51">
        <v>14.67</v>
      </c>
      <c r="I237" s="51">
        <v>0.5</v>
      </c>
      <c r="J237" s="51">
        <v>1.9</v>
      </c>
      <c r="K237" s="51">
        <v>0.3</v>
      </c>
      <c r="N237" s="7"/>
      <c r="S237" s="7"/>
      <c r="T237" s="14"/>
      <c r="U237" s="5"/>
      <c r="V237" s="4"/>
    </row>
    <row r="238" spans="1:22" outlineLevel="2">
      <c r="A238" s="4"/>
      <c r="B238" s="5"/>
      <c r="C238" s="5"/>
      <c r="D238" s="14"/>
      <c r="E238" s="7"/>
      <c r="F238" s="18"/>
      <c r="G238" s="54" t="s">
        <v>180</v>
      </c>
      <c r="H238" s="54">
        <v>14.67</v>
      </c>
      <c r="I238" s="54">
        <v>0.5</v>
      </c>
      <c r="J238" s="54">
        <v>14.2</v>
      </c>
      <c r="K238" s="54">
        <v>0.1</v>
      </c>
      <c r="N238" s="7"/>
      <c r="S238" s="7"/>
      <c r="T238" s="14"/>
      <c r="U238" s="5"/>
      <c r="V238" s="4"/>
    </row>
    <row r="239" spans="1:22" outlineLevel="2">
      <c r="A239" s="4"/>
      <c r="B239" s="5"/>
      <c r="C239" s="5"/>
      <c r="D239" s="14"/>
      <c r="E239" s="7"/>
      <c r="F239" s="18"/>
      <c r="N239" s="7"/>
      <c r="S239" s="7"/>
      <c r="T239" s="14"/>
      <c r="U239" s="5"/>
      <c r="V239" s="4"/>
    </row>
    <row r="240" spans="1:22" outlineLevel="2">
      <c r="A240" s="4"/>
      <c r="B240" s="5"/>
      <c r="C240" s="5"/>
      <c r="D240" s="14"/>
      <c r="E240" s="7"/>
      <c r="F240" s="18"/>
      <c r="N240" s="7"/>
      <c r="S240" s="7"/>
      <c r="T240" s="14"/>
      <c r="U240" s="5"/>
      <c r="V240" s="4"/>
    </row>
    <row r="241" spans="1:22" outlineLevel="2">
      <c r="A241" s="4"/>
      <c r="B241" s="5"/>
      <c r="C241" s="5"/>
      <c r="D241" s="14"/>
      <c r="E241" s="7"/>
      <c r="F241" s="18"/>
      <c r="N241" s="7"/>
      <c r="S241" s="7"/>
      <c r="T241" s="14"/>
      <c r="U241" s="5"/>
      <c r="V241" s="4"/>
    </row>
    <row r="242" spans="1:22" outlineLevel="1">
      <c r="A242" s="4"/>
      <c r="B242" s="5"/>
      <c r="C242" s="5"/>
      <c r="D242" s="14"/>
      <c r="E242" s="15"/>
      <c r="F242" s="15"/>
      <c r="G242" s="7"/>
      <c r="H242" s="7"/>
      <c r="I242" s="7"/>
      <c r="J242" s="7"/>
      <c r="K242" s="7"/>
      <c r="L242" s="7"/>
      <c r="M242" s="7"/>
      <c r="N242" s="7"/>
      <c r="O242" s="7"/>
      <c r="P242" s="7"/>
      <c r="Q242" s="7"/>
      <c r="R242" s="7"/>
      <c r="S242" s="7"/>
      <c r="T242" s="14"/>
      <c r="U242" s="5"/>
      <c r="V242" s="4"/>
    </row>
    <row r="243" spans="1:22" outlineLevel="1">
      <c r="A243" s="4"/>
      <c r="B243" s="5"/>
      <c r="C243" s="5"/>
      <c r="D243" s="14"/>
      <c r="E243" s="15"/>
      <c r="F243" s="15" t="s">
        <v>6</v>
      </c>
      <c r="G243" s="7"/>
      <c r="H243" s="7"/>
      <c r="I243" s="7"/>
      <c r="J243" s="7"/>
      <c r="K243" s="7"/>
      <c r="L243" s="7"/>
      <c r="M243" s="7"/>
      <c r="N243" s="7"/>
      <c r="O243" s="7"/>
      <c r="P243" s="7"/>
      <c r="Q243" s="7"/>
      <c r="R243" s="7"/>
      <c r="S243" s="7"/>
      <c r="T243" s="14"/>
      <c r="U243" s="5"/>
      <c r="V243" s="4"/>
    </row>
    <row r="244" spans="1:22" outlineLevel="2">
      <c r="A244" s="4"/>
      <c r="B244" s="5"/>
      <c r="C244" s="5"/>
      <c r="D244" s="14"/>
      <c r="E244" s="7"/>
      <c r="F244" s="24" t="s">
        <v>120</v>
      </c>
      <c r="S244" s="7"/>
      <c r="T244" s="14"/>
      <c r="U244" s="5"/>
      <c r="V244" s="4"/>
    </row>
    <row r="245" spans="1:22" outlineLevel="2">
      <c r="A245" s="4"/>
      <c r="B245" s="5"/>
      <c r="C245" s="5"/>
      <c r="D245" s="14"/>
      <c r="E245" s="7"/>
      <c r="G245" s="43" t="s">
        <v>8</v>
      </c>
      <c r="H245" t="s">
        <v>7</v>
      </c>
      <c r="J245" s="20" t="s">
        <v>14</v>
      </c>
      <c r="K245" t="s">
        <v>103</v>
      </c>
      <c r="S245" s="7"/>
      <c r="T245" s="14"/>
      <c r="U245" s="5"/>
      <c r="V245" s="4"/>
    </row>
    <row r="246" spans="1:22" outlineLevel="2">
      <c r="A246" s="4"/>
      <c r="B246" s="5"/>
      <c r="C246" s="5"/>
      <c r="D246" s="14"/>
      <c r="E246" s="7"/>
      <c r="G246" s="43" t="s">
        <v>71</v>
      </c>
      <c r="H246" t="s">
        <v>67</v>
      </c>
      <c r="J246" s="20" t="s">
        <v>14</v>
      </c>
      <c r="K246" t="s">
        <v>16</v>
      </c>
      <c r="S246" s="7"/>
      <c r="T246" s="14"/>
      <c r="U246" s="5"/>
      <c r="V246" s="4"/>
    </row>
    <row r="247" spans="1:22" outlineLevel="2">
      <c r="A247" s="4"/>
      <c r="B247" s="5"/>
      <c r="C247" s="5"/>
      <c r="D247" s="14"/>
      <c r="E247" s="7"/>
      <c r="G247" s="43" t="s">
        <v>74</v>
      </c>
      <c r="H247" t="s">
        <v>72</v>
      </c>
      <c r="J247" s="20" t="s">
        <v>14</v>
      </c>
      <c r="K247" t="s">
        <v>104</v>
      </c>
      <c r="S247" s="7"/>
      <c r="T247" s="14"/>
      <c r="U247" s="5"/>
      <c r="V247" s="4"/>
    </row>
    <row r="248" spans="1:22" outlineLevel="2">
      <c r="A248" s="4"/>
      <c r="B248" s="5"/>
      <c r="C248" s="5"/>
      <c r="D248" s="14"/>
      <c r="E248" s="7"/>
      <c r="G248" s="43">
        <v>1</v>
      </c>
      <c r="H248" t="s">
        <v>76</v>
      </c>
      <c r="S248" s="7"/>
      <c r="T248" s="14"/>
      <c r="U248" s="5"/>
      <c r="V248" s="4"/>
    </row>
    <row r="249" spans="1:22" outlineLevel="2">
      <c r="A249" s="4"/>
      <c r="B249" s="5"/>
      <c r="C249" s="5"/>
      <c r="D249" s="14"/>
      <c r="E249" s="7"/>
      <c r="G249" s="43" t="s">
        <v>102</v>
      </c>
      <c r="H249" t="s">
        <v>12</v>
      </c>
      <c r="S249" s="7"/>
      <c r="T249" s="14"/>
      <c r="U249" s="5"/>
      <c r="V249" s="4"/>
    </row>
    <row r="250" spans="1:22" outlineLevel="2">
      <c r="A250" s="4"/>
      <c r="B250" s="5"/>
      <c r="C250" s="5"/>
      <c r="D250" s="14"/>
      <c r="E250" s="7"/>
      <c r="G250" s="43" t="s">
        <v>102</v>
      </c>
      <c r="H250" t="s">
        <v>78</v>
      </c>
      <c r="S250" s="7"/>
      <c r="T250" s="14"/>
      <c r="U250" s="5"/>
      <c r="V250" s="4"/>
    </row>
    <row r="251" spans="1:22" outlineLevel="2">
      <c r="A251" s="4"/>
      <c r="B251" s="5"/>
      <c r="C251" s="5"/>
      <c r="D251" s="14"/>
      <c r="E251" s="7"/>
      <c r="G251" s="43" t="s">
        <v>102</v>
      </c>
      <c r="H251" t="s">
        <v>80</v>
      </c>
      <c r="S251" s="7"/>
      <c r="T251" s="14"/>
      <c r="U251" s="5"/>
      <c r="V251" s="4"/>
    </row>
    <row r="252" spans="1:22" outlineLevel="2">
      <c r="A252" s="4"/>
      <c r="B252" s="5"/>
      <c r="C252" s="5"/>
      <c r="D252" s="14"/>
      <c r="E252" s="7"/>
      <c r="G252" s="43" t="s">
        <v>102</v>
      </c>
      <c r="H252" t="s">
        <v>79</v>
      </c>
      <c r="S252" s="7"/>
      <c r="T252" s="14"/>
      <c r="U252" s="5"/>
      <c r="V252" s="4"/>
    </row>
    <row r="253" spans="1:22" outlineLevel="2">
      <c r="A253" s="4"/>
      <c r="B253" s="5"/>
      <c r="C253" s="5"/>
      <c r="D253" s="14"/>
      <c r="E253" s="7"/>
      <c r="G253" s="43" t="s">
        <v>102</v>
      </c>
      <c r="H253" t="s">
        <v>25</v>
      </c>
      <c r="S253" s="7"/>
      <c r="T253" s="14"/>
      <c r="U253" s="5"/>
      <c r="V253" s="4"/>
    </row>
    <row r="254" spans="1:22" outlineLevel="2">
      <c r="A254" s="4"/>
      <c r="B254" s="5"/>
      <c r="C254" s="5"/>
      <c r="D254" s="14"/>
      <c r="E254" s="7"/>
      <c r="G254" s="43" t="s">
        <v>65</v>
      </c>
      <c r="H254" t="s">
        <v>108</v>
      </c>
      <c r="S254" s="7"/>
      <c r="T254" s="14"/>
      <c r="U254" s="5"/>
      <c r="V254" s="4"/>
    </row>
    <row r="255" spans="1:22" outlineLevel="2">
      <c r="A255" s="4"/>
      <c r="B255" s="5"/>
      <c r="C255" s="5"/>
      <c r="D255" s="14"/>
      <c r="E255" s="7"/>
      <c r="G255" s="43">
        <v>8.8999999999999999E-3</v>
      </c>
      <c r="H255" t="s">
        <v>59</v>
      </c>
      <c r="S255" s="7"/>
      <c r="T255" s="14"/>
      <c r="U255" s="5"/>
      <c r="V255" s="4"/>
    </row>
    <row r="256" spans="1:22" outlineLevel="2">
      <c r="A256" s="4"/>
      <c r="B256" s="5"/>
      <c r="C256" s="5"/>
      <c r="D256" s="14"/>
      <c r="E256" s="7"/>
      <c r="S256" s="7"/>
      <c r="T256" s="14"/>
      <c r="U256" s="5"/>
      <c r="V256" s="4"/>
    </row>
    <row r="257" spans="1:22" outlineLevel="2">
      <c r="A257" s="4"/>
      <c r="B257" s="5"/>
      <c r="C257" s="5"/>
      <c r="D257" s="14"/>
      <c r="E257" s="7"/>
      <c r="S257" s="7"/>
      <c r="T257" s="14"/>
      <c r="U257" s="5"/>
      <c r="V257" s="4"/>
    </row>
    <row r="258" spans="1:22" outlineLevel="2">
      <c r="A258" s="4"/>
      <c r="B258" s="5"/>
      <c r="C258" s="5"/>
      <c r="D258" s="14"/>
      <c r="E258" s="7"/>
      <c r="F258" s="23" t="s">
        <v>10</v>
      </c>
      <c r="G258" s="13" t="s">
        <v>119</v>
      </c>
      <c r="S258" s="7"/>
      <c r="T258" s="14"/>
      <c r="U258" s="5"/>
      <c r="V258" s="4"/>
    </row>
    <row r="259" spans="1:22" outlineLevel="2">
      <c r="A259" s="4"/>
      <c r="B259" s="5"/>
      <c r="C259" s="5"/>
      <c r="D259" s="14"/>
      <c r="E259" s="7"/>
      <c r="G259" s="49">
        <f ca="1">SUM(G265:G274)</f>
        <v>3546.0703719601315</v>
      </c>
      <c r="H259" s="13" t="s">
        <v>118</v>
      </c>
      <c r="S259" s="7"/>
      <c r="T259" s="14"/>
      <c r="U259" s="5"/>
      <c r="V259" s="4"/>
    </row>
    <row r="260" spans="1:22" outlineLevel="2">
      <c r="A260" s="4"/>
      <c r="B260" s="5"/>
      <c r="C260" s="5"/>
      <c r="D260" s="14"/>
      <c r="E260" s="7"/>
      <c r="H260" s="1"/>
      <c r="S260" s="7"/>
      <c r="T260" s="14"/>
      <c r="U260" s="5"/>
      <c r="V260" s="4"/>
    </row>
    <row r="261" spans="1:22" outlineLevel="2">
      <c r="A261" s="4"/>
      <c r="B261" s="5"/>
      <c r="C261" s="5"/>
      <c r="D261" s="14"/>
      <c r="E261" s="7"/>
      <c r="G261" t="s">
        <v>84</v>
      </c>
      <c r="H261" s="1"/>
      <c r="S261" s="7"/>
      <c r="T261" s="14"/>
      <c r="U261" s="5"/>
      <c r="V261" s="4"/>
    </row>
    <row r="262" spans="1:22" outlineLevel="2">
      <c r="A262" s="4"/>
      <c r="B262" s="5"/>
      <c r="C262" s="5"/>
      <c r="D262" s="14"/>
      <c r="E262" s="7"/>
      <c r="F262" s="23"/>
      <c r="G262" s="21">
        <f ca="1">Database!D18</f>
        <v>16.137</v>
      </c>
      <c r="S262" s="7"/>
      <c r="T262" s="14"/>
      <c r="U262" s="5"/>
      <c r="V262" s="4"/>
    </row>
    <row r="263" spans="1:22" outlineLevel="2">
      <c r="A263" s="4"/>
      <c r="B263" s="5"/>
      <c r="C263" s="5"/>
      <c r="D263" s="14"/>
      <c r="E263" s="7"/>
      <c r="H263" s="1"/>
      <c r="S263" s="7"/>
      <c r="T263" s="14"/>
      <c r="U263" s="5"/>
      <c r="V263" s="4"/>
    </row>
    <row r="264" spans="1:22" outlineLevel="2">
      <c r="A264" s="4"/>
      <c r="B264" s="5"/>
      <c r="C264" s="5"/>
      <c r="D264" s="14"/>
      <c r="E264" s="7"/>
      <c r="F264" s="23" t="s">
        <v>81</v>
      </c>
      <c r="G264" s="37" t="s">
        <v>118</v>
      </c>
      <c r="S264" s="7"/>
      <c r="T264" s="14"/>
      <c r="U264" s="5"/>
      <c r="V264" s="4"/>
    </row>
    <row r="265" spans="1:22" outlineLevel="2">
      <c r="A265" s="4"/>
      <c r="B265" s="5"/>
      <c r="C265" s="5"/>
      <c r="D265" s="14"/>
      <c r="E265" s="7"/>
      <c r="G265" s="49">
        <f>Database!E6</f>
        <v>169</v>
      </c>
      <c r="H265" t="s">
        <v>18</v>
      </c>
      <c r="S265" s="7"/>
      <c r="T265" s="14"/>
      <c r="U265" s="5"/>
      <c r="V265" s="4"/>
    </row>
    <row r="266" spans="1:22" outlineLevel="2">
      <c r="A266" s="4"/>
      <c r="B266" s="5"/>
      <c r="C266" s="5"/>
      <c r="D266" s="14"/>
      <c r="E266" s="7"/>
      <c r="F266" s="22"/>
      <c r="G266" s="49">
        <f ca="1">Database!E7</f>
        <v>116.34926603661927</v>
      </c>
      <c r="H266" s="22" t="s">
        <v>19</v>
      </c>
      <c r="S266" s="7"/>
      <c r="T266" s="14"/>
      <c r="U266" s="5"/>
      <c r="V266" s="4"/>
    </row>
    <row r="267" spans="1:22" outlineLevel="2">
      <c r="A267" s="4"/>
      <c r="B267" s="5"/>
      <c r="C267" s="5"/>
      <c r="D267" s="14"/>
      <c r="E267" s="7"/>
      <c r="F267" s="22"/>
      <c r="G267" s="49">
        <f>Database!E8*IF(G249="nil",0,1)</f>
        <v>2</v>
      </c>
      <c r="H267" s="22" t="s">
        <v>20</v>
      </c>
      <c r="S267" s="7"/>
      <c r="T267" s="14"/>
      <c r="U267" s="5"/>
      <c r="V267" s="4"/>
    </row>
    <row r="268" spans="1:22" outlineLevel="2">
      <c r="A268" s="4"/>
      <c r="B268" s="5"/>
      <c r="C268" s="5"/>
      <c r="D268" s="14"/>
      <c r="E268" s="7"/>
      <c r="F268" s="22"/>
      <c r="G268" s="49">
        <f>Database!E9</f>
        <v>-188.63157894736841</v>
      </c>
      <c r="H268" s="22" t="s">
        <v>21</v>
      </c>
      <c r="S268" s="7"/>
      <c r="T268" s="14"/>
      <c r="U268" s="5"/>
      <c r="V268" s="4"/>
    </row>
    <row r="269" spans="1:22" outlineLevel="2">
      <c r="A269" s="4"/>
      <c r="B269" s="5"/>
      <c r="C269" s="5"/>
      <c r="D269" s="14"/>
      <c r="E269" s="7"/>
      <c r="F269" s="22"/>
      <c r="G269" s="49">
        <f>Database!E10*IF(G250="nil",0,1)</f>
        <v>212.53226892482306</v>
      </c>
      <c r="H269" s="22" t="s">
        <v>22</v>
      </c>
      <c r="S269" s="7"/>
      <c r="T269" s="14"/>
      <c r="U269" s="5"/>
      <c r="V269" s="4"/>
    </row>
    <row r="270" spans="1:22" outlineLevel="2">
      <c r="A270" s="4"/>
      <c r="B270" s="5"/>
      <c r="C270" s="5"/>
      <c r="D270" s="14"/>
      <c r="E270" s="7"/>
      <c r="F270" s="22"/>
      <c r="G270" s="49">
        <f ca="1">Database!E11*IF(G251="nil",0,1)</f>
        <v>-415.23851514576296</v>
      </c>
      <c r="H270" s="22" t="s">
        <v>23</v>
      </c>
      <c r="S270" s="7"/>
      <c r="T270" s="14"/>
      <c r="U270" s="5"/>
      <c r="V270" s="4"/>
    </row>
    <row r="271" spans="1:22" outlineLevel="2">
      <c r="A271" s="4"/>
      <c r="B271" s="5"/>
      <c r="C271" s="5"/>
      <c r="D271" s="14"/>
      <c r="E271" s="7"/>
      <c r="F271" s="22"/>
      <c r="G271" s="49">
        <f>Database!E12*IF(G252="nil",0,1)</f>
        <v>192.88584987905506</v>
      </c>
      <c r="H271" s="22" t="s">
        <v>24</v>
      </c>
      <c r="S271" s="7"/>
      <c r="T271" s="14"/>
      <c r="U271" s="5"/>
      <c r="V271" s="4"/>
    </row>
    <row r="272" spans="1:22" outlineLevel="2">
      <c r="A272" s="4"/>
      <c r="B272" s="5"/>
      <c r="C272" s="5"/>
      <c r="D272" s="14"/>
      <c r="E272" s="7"/>
      <c r="F272" s="26"/>
      <c r="G272" s="49">
        <f>Database!E13*IF(G253="nil",0,1)</f>
        <v>8.9025412488726197</v>
      </c>
      <c r="H272" s="26" t="s">
        <v>27</v>
      </c>
      <c r="S272" s="7"/>
      <c r="T272" s="14"/>
      <c r="U272" s="5"/>
      <c r="V272" s="4"/>
    </row>
    <row r="273" spans="1:22" outlineLevel="2">
      <c r="A273" s="4"/>
      <c r="B273" s="5"/>
      <c r="C273" s="5"/>
      <c r="D273" s="14"/>
      <c r="E273" s="7"/>
      <c r="F273" s="25"/>
      <c r="G273" s="49">
        <f>Database!E14*IF(G254="nil",0,1)</f>
        <v>4.2705399638929924</v>
      </c>
      <c r="H273" s="25" t="s">
        <v>107</v>
      </c>
      <c r="S273" s="7"/>
      <c r="T273" s="14"/>
      <c r="U273" s="5"/>
      <c r="V273" s="4"/>
    </row>
    <row r="274" spans="1:22" outlineLevel="2">
      <c r="A274" s="4"/>
      <c r="B274" s="5"/>
      <c r="C274" s="5"/>
      <c r="D274" s="14"/>
      <c r="E274" s="7"/>
      <c r="F274" s="25"/>
      <c r="G274" s="49">
        <f ca="1">Database!E15*IF(G255="nil",0,1)</f>
        <v>3444</v>
      </c>
      <c r="H274" s="25" t="s">
        <v>109</v>
      </c>
      <c r="S274" s="7"/>
      <c r="T274" s="14"/>
      <c r="U274" s="5"/>
      <c r="V274" s="4"/>
    </row>
    <row r="275" spans="1:22" outlineLevel="2">
      <c r="A275" s="4"/>
      <c r="B275" s="5"/>
      <c r="C275" s="5"/>
      <c r="D275" s="14"/>
      <c r="E275" s="7"/>
      <c r="G275" s="49">
        <f ca="1">SUM(G265:G274)</f>
        <v>3546.0703719601315</v>
      </c>
      <c r="H275" s="13" t="s">
        <v>118</v>
      </c>
      <c r="S275" s="7"/>
      <c r="T275" s="14"/>
      <c r="U275" s="5"/>
      <c r="V275" s="4"/>
    </row>
    <row r="276" spans="1:22" outlineLevel="2">
      <c r="A276" s="4"/>
      <c r="B276" s="5"/>
      <c r="C276" s="5"/>
      <c r="D276" s="14"/>
      <c r="E276" s="7"/>
      <c r="S276" s="7"/>
      <c r="T276" s="14"/>
      <c r="U276" s="5"/>
      <c r="V276" s="4"/>
    </row>
    <row r="277" spans="1:22" outlineLevel="1">
      <c r="A277" s="4"/>
      <c r="B277" s="5"/>
      <c r="C277" s="5"/>
      <c r="D277" s="14"/>
      <c r="E277" s="7"/>
      <c r="F277" s="7"/>
      <c r="G277" s="7"/>
      <c r="H277" s="7"/>
      <c r="I277" s="7"/>
      <c r="J277" s="7"/>
      <c r="K277" s="7"/>
      <c r="L277" s="7"/>
      <c r="M277" s="7"/>
      <c r="N277" s="7"/>
      <c r="O277" s="7"/>
      <c r="P277" s="7"/>
      <c r="Q277" s="7"/>
      <c r="R277" s="7"/>
      <c r="S277" s="7"/>
      <c r="T277" s="14"/>
      <c r="U277" s="5"/>
      <c r="V277" s="4"/>
    </row>
    <row r="278" spans="1:22" outlineLevel="1">
      <c r="A278" s="4"/>
      <c r="B278" s="5"/>
      <c r="C278" s="5"/>
      <c r="D278" s="14"/>
      <c r="E278" s="14"/>
      <c r="F278" s="14"/>
      <c r="G278" s="14"/>
      <c r="H278" s="14"/>
      <c r="I278" s="14"/>
      <c r="J278" s="14"/>
      <c r="K278" s="14"/>
      <c r="L278" s="14"/>
      <c r="M278" s="14"/>
      <c r="N278" s="14"/>
      <c r="O278" s="14"/>
      <c r="P278" s="14"/>
      <c r="Q278" s="14"/>
      <c r="R278" s="14"/>
      <c r="S278" s="14"/>
      <c r="T278" s="14"/>
      <c r="U278" s="5"/>
      <c r="V278" s="4"/>
    </row>
    <row r="279" spans="1:22">
      <c r="A279" s="4"/>
      <c r="B279" s="5"/>
      <c r="C279" s="5"/>
      <c r="D279" s="9"/>
      <c r="E279" s="9"/>
      <c r="F279" s="9"/>
      <c r="G279" s="5"/>
      <c r="H279" s="5"/>
      <c r="I279" s="5"/>
      <c r="J279" s="5"/>
      <c r="K279" s="5"/>
      <c r="L279" s="5"/>
      <c r="M279" s="5"/>
      <c r="N279" s="5"/>
      <c r="O279" s="5"/>
      <c r="P279" s="5"/>
      <c r="Q279" s="5"/>
      <c r="R279" s="5"/>
      <c r="S279" s="5"/>
      <c r="T279" s="5"/>
      <c r="U279" s="5"/>
      <c r="V279" s="4"/>
    </row>
    <row r="280" spans="1:22">
      <c r="A280" s="4"/>
      <c r="B280" s="4"/>
      <c r="C280" s="4"/>
      <c r="D280" s="8"/>
      <c r="E280" s="8"/>
      <c r="F280" s="8"/>
      <c r="G280" s="4"/>
      <c r="H280" s="4"/>
      <c r="I280" s="4"/>
      <c r="J280" s="4"/>
      <c r="K280" s="4"/>
      <c r="L280" s="4"/>
      <c r="M280" s="4"/>
      <c r="N280" s="4"/>
      <c r="O280" s="4"/>
      <c r="P280" s="4"/>
      <c r="Q280" s="4"/>
      <c r="R280" s="4"/>
      <c r="S280" s="4"/>
      <c r="T280" s="4"/>
      <c r="U280" s="4"/>
      <c r="V280" s="4"/>
    </row>
    <row r="281" spans="1:22">
      <c r="A281" s="4"/>
      <c r="B281" s="5"/>
      <c r="C281" s="5"/>
      <c r="D281" s="9"/>
      <c r="E281" s="9"/>
      <c r="F281" s="9"/>
      <c r="G281" s="5"/>
      <c r="H281" s="5"/>
      <c r="I281" s="5"/>
      <c r="J281" s="5"/>
      <c r="K281" s="5"/>
      <c r="L281" s="5"/>
      <c r="M281" s="5"/>
      <c r="N281" s="5"/>
      <c r="O281" s="5"/>
      <c r="P281" s="5"/>
      <c r="Q281" s="5"/>
      <c r="R281" s="5"/>
      <c r="S281" s="5"/>
      <c r="T281" s="5"/>
      <c r="U281" s="5"/>
      <c r="V281" s="4"/>
    </row>
    <row r="282" spans="1:22" ht="17">
      <c r="A282" s="4"/>
      <c r="B282" s="5"/>
      <c r="C282" s="5"/>
      <c r="D282" s="10" t="s">
        <v>85</v>
      </c>
      <c r="E282" s="10"/>
      <c r="F282" s="10"/>
      <c r="G282" s="18" t="s">
        <v>86</v>
      </c>
      <c r="H282" s="18"/>
      <c r="I282" s="18"/>
      <c r="J282" s="18"/>
      <c r="U282" s="5"/>
      <c r="V282" s="4"/>
    </row>
    <row r="283" spans="1:22" hidden="1" outlineLevel="1">
      <c r="A283" s="4"/>
      <c r="B283" s="5"/>
      <c r="C283" s="5"/>
      <c r="D283" s="29"/>
      <c r="H283" s="6"/>
      <c r="I283" s="6"/>
      <c r="J283" s="6"/>
      <c r="K283" s="6"/>
      <c r="L283" s="6"/>
      <c r="M283" s="6"/>
      <c r="N283" s="6"/>
      <c r="O283" s="6"/>
      <c r="P283" s="6"/>
      <c r="Q283" s="6"/>
      <c r="R283" s="6"/>
      <c r="S283" s="6"/>
      <c r="T283" s="6"/>
      <c r="U283" s="5"/>
      <c r="V283" s="4"/>
    </row>
    <row r="284" spans="1:22" hidden="1" outlineLevel="1">
      <c r="A284" s="4"/>
      <c r="B284" s="5"/>
      <c r="C284" s="5"/>
      <c r="D284" s="29"/>
      <c r="F284" t="s">
        <v>89</v>
      </c>
      <c r="H284" s="6"/>
      <c r="I284" s="6"/>
      <c r="J284" s="6"/>
      <c r="K284" s="6"/>
      <c r="L284" s="6"/>
      <c r="M284" s="6"/>
      <c r="N284" s="6"/>
      <c r="O284" s="6"/>
      <c r="P284" s="6"/>
      <c r="Q284" s="6"/>
      <c r="R284" s="6"/>
      <c r="S284" s="6"/>
      <c r="T284" s="6"/>
      <c r="U284" s="5"/>
      <c r="V284" s="4"/>
    </row>
    <row r="285" spans="1:22" hidden="1" outlineLevel="1">
      <c r="A285" s="4"/>
      <c r="B285" s="5"/>
      <c r="C285" s="5"/>
      <c r="D285" s="29"/>
      <c r="F285" t="s">
        <v>88</v>
      </c>
      <c r="H285" s="6"/>
      <c r="I285" s="6"/>
      <c r="J285" s="6"/>
      <c r="K285" s="38" t="s">
        <v>87</v>
      </c>
      <c r="M285" s="6"/>
      <c r="N285" s="6"/>
      <c r="O285" s="6"/>
      <c r="P285" s="6"/>
      <c r="Q285" s="6"/>
      <c r="R285" s="6"/>
      <c r="S285" s="6"/>
      <c r="T285" s="6"/>
      <c r="U285" s="5"/>
      <c r="V285" s="4"/>
    </row>
    <row r="286" spans="1:22" hidden="1" outlineLevel="1">
      <c r="A286" s="4"/>
      <c r="B286" s="5"/>
      <c r="C286" s="5"/>
      <c r="D286" s="29"/>
      <c r="H286" s="6"/>
      <c r="I286" s="6"/>
      <c r="J286" s="6"/>
      <c r="K286" s="6"/>
      <c r="L286" s="6"/>
      <c r="M286" s="6"/>
      <c r="N286" s="6"/>
      <c r="O286" s="6"/>
      <c r="P286" s="6"/>
      <c r="Q286" s="6"/>
      <c r="R286" s="6"/>
      <c r="S286" s="6"/>
      <c r="T286" s="6"/>
      <c r="U286" s="5"/>
      <c r="V286" s="4"/>
    </row>
    <row r="287" spans="1:22" hidden="1" outlineLevel="1">
      <c r="A287" s="4"/>
      <c r="B287" s="5"/>
      <c r="C287" s="5"/>
      <c r="D287" s="29"/>
      <c r="H287" s="6"/>
      <c r="I287" s="6"/>
      <c r="J287" s="6"/>
      <c r="K287" s="6"/>
      <c r="L287" s="6"/>
      <c r="M287" s="6"/>
      <c r="N287" s="6"/>
      <c r="O287" s="6"/>
      <c r="P287" s="6"/>
      <c r="Q287" s="6"/>
      <c r="R287" s="6"/>
      <c r="S287" s="6"/>
      <c r="T287" s="6"/>
      <c r="U287" s="5"/>
      <c r="V287" s="4"/>
    </row>
    <row r="288" spans="1:22" ht="17" hidden="1" outlineLevel="1">
      <c r="A288" s="4"/>
      <c r="B288" s="5"/>
      <c r="C288" s="5"/>
      <c r="F288" s="10"/>
      <c r="G288" s="2"/>
      <c r="H288" s="2"/>
      <c r="I288" s="2"/>
      <c r="J288" s="2"/>
      <c r="K288" s="2"/>
      <c r="L288" s="2"/>
      <c r="M288" s="2"/>
      <c r="N288" s="2"/>
      <c r="O288" s="2"/>
      <c r="P288" s="2"/>
      <c r="Q288" s="2"/>
      <c r="R288" s="2"/>
      <c r="S288" s="2"/>
      <c r="T288" s="2"/>
      <c r="U288" s="5"/>
      <c r="V288" s="4"/>
    </row>
    <row r="289" spans="1:22" collapsed="1">
      <c r="A289" s="4"/>
      <c r="B289" s="5"/>
      <c r="C289" s="5"/>
      <c r="D289" s="9"/>
      <c r="E289" s="9"/>
      <c r="F289" s="9"/>
      <c r="G289" s="5"/>
      <c r="H289" s="5"/>
      <c r="I289" s="5"/>
      <c r="J289" s="5"/>
      <c r="K289" s="5"/>
      <c r="L289" s="5"/>
      <c r="M289" s="5"/>
      <c r="N289" s="5"/>
      <c r="O289" s="5"/>
      <c r="P289" s="5"/>
      <c r="Q289" s="5"/>
      <c r="R289" s="5"/>
      <c r="S289" s="5"/>
      <c r="T289" s="5"/>
      <c r="U289" s="5"/>
      <c r="V289" s="4"/>
    </row>
    <row r="290" spans="1:22">
      <c r="A290" s="4"/>
      <c r="B290" s="4"/>
      <c r="C290" s="4"/>
      <c r="D290" s="8"/>
      <c r="E290" s="8"/>
      <c r="F290" s="8"/>
      <c r="G290" s="4"/>
      <c r="H290" s="4"/>
      <c r="I290" s="4"/>
      <c r="J290" s="4"/>
      <c r="K290" s="4"/>
      <c r="L290" s="4"/>
      <c r="M290" s="4"/>
      <c r="N290" s="4"/>
      <c r="O290" s="4"/>
      <c r="P290" s="4"/>
      <c r="Q290" s="4"/>
      <c r="R290" s="4"/>
      <c r="S290" s="4"/>
      <c r="T290" s="4"/>
      <c r="U290" s="4"/>
      <c r="V290" s="4"/>
    </row>
    <row r="291" spans="1:22">
      <c r="D291" s="11"/>
      <c r="E291" s="11"/>
      <c r="F291" s="11"/>
    </row>
    <row r="292" spans="1:22">
      <c r="D292" s="11"/>
      <c r="E292" s="11"/>
      <c r="F292" s="11"/>
    </row>
    <row r="293" spans="1:22">
      <c r="D293" s="11"/>
      <c r="E293" s="11"/>
      <c r="F293" s="11"/>
    </row>
    <row r="294" spans="1:22">
      <c r="D294" s="11"/>
      <c r="E294" s="11"/>
      <c r="F294" s="11"/>
    </row>
    <row r="295" spans="1:22">
      <c r="D295" s="11"/>
      <c r="E295" s="11"/>
      <c r="F295" s="11"/>
    </row>
    <row r="296" spans="1:22">
      <c r="D296" s="11"/>
      <c r="E296" s="11"/>
      <c r="F296" s="11"/>
    </row>
    <row r="297" spans="1:22">
      <c r="D297" s="11"/>
      <c r="E297" s="11"/>
      <c r="F297" s="11"/>
    </row>
    <row r="298" spans="1:22">
      <c r="D298" s="11"/>
      <c r="E298" s="11"/>
      <c r="F298" s="11"/>
    </row>
    <row r="299" spans="1:22">
      <c r="D299" s="11"/>
      <c r="E299" s="11"/>
      <c r="F299" s="11"/>
    </row>
    <row r="300" spans="1:22">
      <c r="D300" s="11"/>
      <c r="E300" s="11"/>
      <c r="F300" s="11"/>
    </row>
    <row r="301" spans="1:22">
      <c r="D301" s="11"/>
      <c r="E301" s="11"/>
      <c r="F301" s="11"/>
    </row>
    <row r="302" spans="1:22">
      <c r="D302" s="11"/>
      <c r="E302" s="11"/>
      <c r="F302" s="11"/>
    </row>
    <row r="303" spans="1:22">
      <c r="D303" s="11"/>
      <c r="E303" s="11"/>
      <c r="F303" s="11"/>
    </row>
    <row r="304" spans="1:22">
      <c r="D304" s="11"/>
      <c r="E304" s="11"/>
      <c r="F304" s="11"/>
    </row>
    <row r="305" spans="4:6">
      <c r="D305" s="11"/>
      <c r="E305" s="11"/>
      <c r="F305" s="11"/>
    </row>
    <row r="306" spans="4:6">
      <c r="D306" s="11"/>
      <c r="E306" s="11"/>
      <c r="F306" s="11"/>
    </row>
    <row r="307" spans="4:6">
      <c r="D307" s="11"/>
      <c r="E307" s="11"/>
      <c r="F307" s="11"/>
    </row>
    <row r="308" spans="4:6">
      <c r="D308" s="11"/>
      <c r="E308" s="11"/>
      <c r="F308" s="11"/>
    </row>
    <row r="309" spans="4:6">
      <c r="D309" s="11"/>
      <c r="E309" s="11"/>
      <c r="F309" s="11"/>
    </row>
    <row r="310" spans="4:6">
      <c r="D310" s="11"/>
      <c r="E310" s="11"/>
      <c r="F310" s="11"/>
    </row>
    <row r="311" spans="4:6">
      <c r="D311" s="11"/>
      <c r="E311" s="11"/>
      <c r="F311" s="11"/>
    </row>
    <row r="312" spans="4:6">
      <c r="D312" s="11"/>
      <c r="E312" s="11"/>
      <c r="F312" s="11"/>
    </row>
    <row r="313" spans="4:6">
      <c r="D313" s="11"/>
      <c r="E313" s="11"/>
      <c r="F313" s="11"/>
    </row>
    <row r="314" spans="4:6">
      <c r="D314" s="11"/>
      <c r="E314" s="11"/>
      <c r="F314" s="11"/>
    </row>
    <row r="315" spans="4:6">
      <c r="D315" s="11"/>
      <c r="E315" s="11"/>
      <c r="F315" s="11"/>
    </row>
    <row r="316" spans="4:6">
      <c r="D316" s="11"/>
      <c r="E316" s="11"/>
      <c r="F316" s="11"/>
    </row>
    <row r="317" spans="4:6">
      <c r="D317" s="11"/>
      <c r="E317" s="11"/>
      <c r="F317" s="11"/>
    </row>
    <row r="318" spans="4:6">
      <c r="D318" s="11"/>
      <c r="E318" s="11"/>
      <c r="F318" s="11"/>
    </row>
    <row r="319" spans="4:6">
      <c r="D319" s="11"/>
      <c r="E319" s="11"/>
      <c r="F319" s="11"/>
    </row>
    <row r="320" spans="4:6">
      <c r="D320" s="11"/>
      <c r="E320" s="11"/>
      <c r="F320" s="11"/>
    </row>
    <row r="321" spans="4:6">
      <c r="D321" s="11"/>
      <c r="E321" s="11"/>
      <c r="F321" s="11"/>
    </row>
    <row r="322" spans="4:6">
      <c r="D322" s="11"/>
      <c r="E322" s="11"/>
      <c r="F322" s="11"/>
    </row>
    <row r="323" spans="4:6">
      <c r="D323" s="11"/>
      <c r="E323" s="11"/>
      <c r="F323" s="11"/>
    </row>
    <row r="324" spans="4:6">
      <c r="D324" s="11"/>
      <c r="E324" s="11"/>
      <c r="F324" s="11"/>
    </row>
    <row r="325" spans="4:6">
      <c r="D325" s="11"/>
      <c r="E325" s="11"/>
      <c r="F325" s="11"/>
    </row>
    <row r="326" spans="4:6">
      <c r="D326" s="11"/>
      <c r="E326" s="11"/>
      <c r="F326" s="11"/>
    </row>
    <row r="327" spans="4:6">
      <c r="D327" s="11"/>
      <c r="E327" s="11"/>
      <c r="F327" s="11"/>
    </row>
    <row r="328" spans="4:6">
      <c r="D328" s="11"/>
      <c r="E328" s="11"/>
      <c r="F328" s="11"/>
    </row>
    <row r="329" spans="4:6">
      <c r="D329" s="11"/>
      <c r="E329" s="11"/>
      <c r="F329" s="11"/>
    </row>
    <row r="330" spans="4:6">
      <c r="D330" s="11"/>
      <c r="E330" s="11"/>
      <c r="F330" s="11"/>
    </row>
    <row r="331" spans="4:6">
      <c r="D331" s="11"/>
      <c r="E331" s="11"/>
      <c r="F331" s="11"/>
    </row>
    <row r="332" spans="4:6">
      <c r="D332" s="11"/>
      <c r="E332" s="11"/>
      <c r="F332" s="11"/>
    </row>
    <row r="333" spans="4:6">
      <c r="D333" s="11"/>
      <c r="E333" s="11"/>
      <c r="F333" s="11"/>
    </row>
    <row r="334" spans="4:6">
      <c r="D334" s="11"/>
      <c r="E334" s="11"/>
      <c r="F334" s="11"/>
    </row>
    <row r="335" spans="4:6">
      <c r="D335" s="11"/>
      <c r="E335" s="11"/>
      <c r="F335" s="11"/>
    </row>
    <row r="336" spans="4:6">
      <c r="D336" s="11"/>
      <c r="E336" s="11"/>
      <c r="F336" s="11"/>
    </row>
    <row r="337" spans="4:6">
      <c r="D337" s="11"/>
      <c r="E337" s="11"/>
      <c r="F337" s="11"/>
    </row>
    <row r="338" spans="4:6">
      <c r="D338" s="11"/>
      <c r="E338" s="11"/>
      <c r="F338" s="11"/>
    </row>
    <row r="339" spans="4:6">
      <c r="D339" s="11"/>
      <c r="E339" s="11"/>
      <c r="F339" s="11"/>
    </row>
    <row r="340" spans="4:6">
      <c r="D340" s="11"/>
      <c r="E340" s="11"/>
      <c r="F340" s="11"/>
    </row>
    <row r="341" spans="4:6">
      <c r="D341" s="11"/>
      <c r="E341" s="11"/>
      <c r="F341" s="11"/>
    </row>
    <row r="342" spans="4:6">
      <c r="D342" s="11"/>
      <c r="E342" s="11"/>
      <c r="F342" s="11"/>
    </row>
    <row r="343" spans="4:6">
      <c r="D343" s="11"/>
      <c r="E343" s="11"/>
      <c r="F343" s="11"/>
    </row>
    <row r="344" spans="4:6">
      <c r="D344" s="11"/>
      <c r="E344" s="11"/>
      <c r="F344" s="11"/>
    </row>
    <row r="345" spans="4:6">
      <c r="D345" s="11"/>
      <c r="E345" s="11"/>
      <c r="F345" s="11"/>
    </row>
    <row r="346" spans="4:6">
      <c r="D346" s="11"/>
      <c r="E346" s="11"/>
      <c r="F346" s="11"/>
    </row>
    <row r="347" spans="4:6">
      <c r="D347" s="11"/>
      <c r="E347" s="11"/>
      <c r="F347" s="11"/>
    </row>
    <row r="348" spans="4:6">
      <c r="D348" s="11"/>
      <c r="E348" s="11"/>
      <c r="F348" s="11"/>
    </row>
    <row r="349" spans="4:6">
      <c r="D349" s="11"/>
      <c r="E349" s="11"/>
      <c r="F349" s="11"/>
    </row>
    <row r="350" spans="4:6">
      <c r="D350" s="11"/>
      <c r="E350" s="11"/>
      <c r="F350" s="11"/>
    </row>
    <row r="351" spans="4:6">
      <c r="D351" s="11"/>
      <c r="E351" s="11"/>
      <c r="F351" s="11"/>
    </row>
    <row r="352" spans="4:6">
      <c r="D352" s="11"/>
      <c r="E352" s="11"/>
      <c r="F352" s="11"/>
    </row>
    <row r="353" spans="4:6">
      <c r="D353" s="11"/>
      <c r="E353" s="11"/>
      <c r="F353" s="11"/>
    </row>
    <row r="354" spans="4:6">
      <c r="D354" s="11"/>
      <c r="E354" s="11"/>
      <c r="F354" s="11"/>
    </row>
    <row r="355" spans="4:6">
      <c r="D355" s="11"/>
      <c r="E355" s="11"/>
      <c r="F355" s="11"/>
    </row>
    <row r="356" spans="4:6">
      <c r="D356" s="11"/>
      <c r="E356" s="11"/>
      <c r="F356" s="11"/>
    </row>
    <row r="357" spans="4:6">
      <c r="D357" s="11"/>
      <c r="E357" s="11"/>
      <c r="F357" s="11"/>
    </row>
    <row r="358" spans="4:6">
      <c r="D358" s="11"/>
      <c r="E358" s="11"/>
      <c r="F358" s="11"/>
    </row>
    <row r="359" spans="4:6">
      <c r="D359" s="11"/>
      <c r="E359" s="11"/>
      <c r="F359" s="11"/>
    </row>
    <row r="360" spans="4:6">
      <c r="D360" s="11"/>
      <c r="E360" s="11"/>
      <c r="F360" s="11"/>
    </row>
    <row r="361" spans="4:6">
      <c r="D361" s="11"/>
      <c r="E361" s="11"/>
      <c r="F361" s="11"/>
    </row>
    <row r="362" spans="4:6">
      <c r="D362" s="11"/>
      <c r="E362" s="11"/>
      <c r="F362" s="11"/>
    </row>
    <row r="363" spans="4:6">
      <c r="D363" s="11"/>
      <c r="E363" s="11"/>
      <c r="F363" s="11"/>
    </row>
    <row r="364" spans="4:6">
      <c r="D364" s="11"/>
      <c r="E364" s="11"/>
      <c r="F364" s="11"/>
    </row>
    <row r="365" spans="4:6">
      <c r="D365" s="11"/>
      <c r="E365" s="11"/>
      <c r="F365" s="11"/>
    </row>
    <row r="366" spans="4:6">
      <c r="D366" s="11"/>
      <c r="E366" s="11"/>
      <c r="F366" s="11"/>
    </row>
    <row r="367" spans="4:6">
      <c r="D367" s="11"/>
      <c r="E367" s="11"/>
      <c r="F367" s="11"/>
    </row>
    <row r="368" spans="4:6">
      <c r="D368" s="11"/>
      <c r="E368" s="11"/>
      <c r="F368" s="11"/>
    </row>
    <row r="369" spans="4:6">
      <c r="D369" s="11"/>
      <c r="E369" s="11"/>
      <c r="F369" s="11"/>
    </row>
    <row r="370" spans="4:6">
      <c r="D370" s="11"/>
      <c r="E370" s="11"/>
      <c r="F370" s="11"/>
    </row>
    <row r="371" spans="4:6">
      <c r="D371" s="11"/>
      <c r="E371" s="11"/>
      <c r="F371" s="11"/>
    </row>
    <row r="372" spans="4:6">
      <c r="D372" s="11"/>
      <c r="E372" s="11"/>
      <c r="F372" s="11"/>
    </row>
    <row r="373" spans="4:6">
      <c r="D373" s="11"/>
      <c r="E373" s="11"/>
      <c r="F373" s="11"/>
    </row>
    <row r="374" spans="4:6">
      <c r="D374" s="11"/>
      <c r="E374" s="11"/>
      <c r="F374" s="11"/>
    </row>
    <row r="375" spans="4:6">
      <c r="D375" s="11"/>
      <c r="E375" s="11"/>
      <c r="F375" s="11"/>
    </row>
    <row r="376" spans="4:6">
      <c r="D376" s="11"/>
      <c r="E376" s="11"/>
      <c r="F376" s="11"/>
    </row>
    <row r="377" spans="4:6">
      <c r="D377" s="11"/>
      <c r="E377" s="11"/>
      <c r="F377" s="11"/>
    </row>
    <row r="378" spans="4:6">
      <c r="D378" s="11"/>
      <c r="E378" s="11"/>
      <c r="F378" s="11"/>
    </row>
    <row r="379" spans="4:6">
      <c r="D379" s="11"/>
      <c r="E379" s="11"/>
      <c r="F379" s="11"/>
    </row>
    <row r="380" spans="4:6">
      <c r="D380" s="11"/>
      <c r="E380" s="11"/>
      <c r="F380" s="11"/>
    </row>
    <row r="381" spans="4:6">
      <c r="D381" s="11"/>
      <c r="E381" s="11"/>
      <c r="F381" s="11"/>
    </row>
    <row r="382" spans="4:6">
      <c r="D382" s="11"/>
      <c r="E382" s="11"/>
      <c r="F382" s="11"/>
    </row>
    <row r="383" spans="4:6">
      <c r="D383" s="11"/>
      <c r="E383" s="11"/>
      <c r="F383" s="11"/>
    </row>
    <row r="384" spans="4:6">
      <c r="D384" s="11"/>
      <c r="E384" s="11"/>
      <c r="F384" s="11"/>
    </row>
    <row r="385" spans="4:6">
      <c r="D385" s="11"/>
      <c r="E385" s="11"/>
      <c r="F385" s="11"/>
    </row>
    <row r="386" spans="4:6">
      <c r="D386" s="11"/>
      <c r="E386" s="11"/>
      <c r="F386" s="11"/>
    </row>
    <row r="387" spans="4:6">
      <c r="D387" s="11"/>
      <c r="E387" s="11"/>
      <c r="F387" s="11"/>
    </row>
    <row r="388" spans="4:6">
      <c r="D388" s="11"/>
      <c r="E388" s="11"/>
      <c r="F388" s="11"/>
    </row>
    <row r="389" spans="4:6">
      <c r="D389" s="11"/>
      <c r="E389" s="11"/>
      <c r="F389" s="11"/>
    </row>
    <row r="390" spans="4:6">
      <c r="D390" s="11"/>
      <c r="E390" s="11"/>
      <c r="F390" s="11"/>
    </row>
    <row r="391" spans="4:6">
      <c r="D391" s="11"/>
      <c r="E391" s="11"/>
      <c r="F391" s="11"/>
    </row>
    <row r="392" spans="4:6">
      <c r="D392" s="11"/>
      <c r="E392" s="11"/>
      <c r="F392" s="11"/>
    </row>
    <row r="393" spans="4:6">
      <c r="D393" s="11"/>
      <c r="E393" s="11"/>
      <c r="F393" s="11"/>
    </row>
    <row r="394" spans="4:6">
      <c r="D394" s="11"/>
      <c r="E394" s="11"/>
      <c r="F394" s="11"/>
    </row>
    <row r="395" spans="4:6">
      <c r="D395" s="11"/>
      <c r="E395" s="11"/>
      <c r="F395" s="11"/>
    </row>
    <row r="396" spans="4:6">
      <c r="D396" s="11"/>
      <c r="E396" s="11"/>
      <c r="F396" s="11"/>
    </row>
    <row r="397" spans="4:6">
      <c r="D397" s="11"/>
      <c r="E397" s="11"/>
      <c r="F397" s="11"/>
    </row>
    <row r="398" spans="4:6">
      <c r="D398" s="11"/>
      <c r="E398" s="11"/>
      <c r="F398" s="11"/>
    </row>
    <row r="399" spans="4:6">
      <c r="D399" s="11"/>
      <c r="E399" s="11"/>
      <c r="F399" s="11"/>
    </row>
    <row r="400" spans="4:6">
      <c r="D400" s="11"/>
      <c r="E400" s="11"/>
      <c r="F400" s="11"/>
    </row>
    <row r="401" spans="4:6">
      <c r="D401" s="11"/>
      <c r="E401" s="11"/>
      <c r="F401" s="11"/>
    </row>
    <row r="402" spans="4:6">
      <c r="D402" s="11"/>
      <c r="E402" s="11"/>
      <c r="F402" s="11"/>
    </row>
    <row r="403" spans="4:6">
      <c r="D403" s="11"/>
      <c r="E403" s="11"/>
      <c r="F403" s="11"/>
    </row>
    <row r="404" spans="4:6">
      <c r="D404" s="11"/>
      <c r="E404" s="11"/>
      <c r="F404" s="11"/>
    </row>
    <row r="405" spans="4:6">
      <c r="D405" s="11"/>
      <c r="E405" s="11"/>
      <c r="F405" s="11"/>
    </row>
    <row r="406" spans="4:6">
      <c r="D406" s="11"/>
      <c r="E406" s="11"/>
      <c r="F406" s="11"/>
    </row>
    <row r="407" spans="4:6">
      <c r="D407" s="11"/>
      <c r="E407" s="11"/>
      <c r="F407" s="11"/>
    </row>
    <row r="408" spans="4:6">
      <c r="D408" s="11"/>
      <c r="E408" s="11"/>
      <c r="F408" s="11"/>
    </row>
    <row r="409" spans="4:6">
      <c r="D409" s="11"/>
      <c r="E409" s="11"/>
      <c r="F409" s="11"/>
    </row>
    <row r="410" spans="4:6">
      <c r="D410" s="11"/>
      <c r="E410" s="11"/>
      <c r="F410" s="11"/>
    </row>
    <row r="411" spans="4:6">
      <c r="D411" s="11"/>
      <c r="E411" s="11"/>
      <c r="F411" s="11"/>
    </row>
    <row r="412" spans="4:6">
      <c r="D412" s="11"/>
      <c r="E412" s="11"/>
      <c r="F412" s="11"/>
    </row>
    <row r="413" spans="4:6">
      <c r="D413" s="11"/>
      <c r="E413" s="11"/>
      <c r="F413" s="11"/>
    </row>
    <row r="414" spans="4:6">
      <c r="D414" s="11"/>
      <c r="E414" s="11"/>
      <c r="F414" s="11"/>
    </row>
    <row r="415" spans="4:6">
      <c r="D415" s="11"/>
      <c r="E415" s="11"/>
      <c r="F415" s="11"/>
    </row>
    <row r="416" spans="4:6">
      <c r="D416" s="11"/>
      <c r="E416" s="11"/>
      <c r="F416" s="11"/>
    </row>
    <row r="417" spans="4:6">
      <c r="D417" s="11"/>
      <c r="E417" s="11"/>
      <c r="F417" s="11"/>
    </row>
    <row r="418" spans="4:6">
      <c r="D418" s="11"/>
      <c r="E418" s="11"/>
      <c r="F418" s="11"/>
    </row>
    <row r="419" spans="4:6">
      <c r="D419" s="11"/>
      <c r="E419" s="11"/>
      <c r="F419" s="11"/>
    </row>
    <row r="420" spans="4:6">
      <c r="D420" s="11"/>
      <c r="E420" s="11"/>
      <c r="F420" s="11"/>
    </row>
    <row r="421" spans="4:6">
      <c r="D421" s="11"/>
      <c r="E421" s="11"/>
      <c r="F421" s="11"/>
    </row>
    <row r="422" spans="4:6">
      <c r="D422" s="11"/>
      <c r="E422" s="11"/>
      <c r="F422" s="11"/>
    </row>
    <row r="423" spans="4:6">
      <c r="D423" s="11"/>
      <c r="E423" s="11"/>
      <c r="F423" s="11"/>
    </row>
    <row r="424" spans="4:6">
      <c r="D424" s="11"/>
      <c r="E424" s="11"/>
      <c r="F424" s="11"/>
    </row>
    <row r="425" spans="4:6">
      <c r="D425" s="11"/>
      <c r="E425" s="11"/>
      <c r="F425" s="11"/>
    </row>
    <row r="426" spans="4:6">
      <c r="D426" s="11"/>
      <c r="E426" s="11"/>
      <c r="F426" s="11"/>
    </row>
    <row r="427" spans="4:6">
      <c r="D427" s="11"/>
      <c r="E427" s="11"/>
      <c r="F427" s="11"/>
    </row>
    <row r="428" spans="4:6">
      <c r="D428" s="11"/>
      <c r="E428" s="11"/>
      <c r="F428" s="11"/>
    </row>
    <row r="429" spans="4:6">
      <c r="D429" s="11"/>
      <c r="E429" s="11"/>
      <c r="F429" s="11"/>
    </row>
    <row r="430" spans="4:6">
      <c r="D430" s="11"/>
      <c r="E430" s="11"/>
      <c r="F430" s="11"/>
    </row>
    <row r="431" spans="4:6">
      <c r="D431" s="11"/>
      <c r="E431" s="11"/>
      <c r="F431" s="11"/>
    </row>
    <row r="432" spans="4:6">
      <c r="D432" s="11"/>
      <c r="E432" s="11"/>
      <c r="F432" s="11"/>
    </row>
    <row r="433" spans="4:6">
      <c r="D433" s="11"/>
      <c r="E433" s="11"/>
      <c r="F433" s="11"/>
    </row>
    <row r="434" spans="4:6">
      <c r="D434" s="11"/>
      <c r="E434" s="11"/>
      <c r="F434" s="11"/>
    </row>
    <row r="435" spans="4:6">
      <c r="D435" s="11"/>
      <c r="E435" s="11"/>
      <c r="F435" s="11"/>
    </row>
    <row r="436" spans="4:6">
      <c r="D436" s="11"/>
      <c r="E436" s="11"/>
      <c r="F436" s="11"/>
    </row>
    <row r="437" spans="4:6">
      <c r="D437" s="11"/>
      <c r="E437" s="11"/>
      <c r="F437" s="11"/>
    </row>
    <row r="438" spans="4:6">
      <c r="D438" s="11"/>
      <c r="E438" s="11"/>
      <c r="F438" s="11"/>
    </row>
    <row r="439" spans="4:6">
      <c r="D439" s="11"/>
      <c r="E439" s="11"/>
      <c r="F439" s="11"/>
    </row>
    <row r="440" spans="4:6">
      <c r="D440" s="11"/>
      <c r="E440" s="11"/>
      <c r="F440" s="11"/>
    </row>
    <row r="441" spans="4:6">
      <c r="D441" s="11"/>
      <c r="E441" s="11"/>
      <c r="F441" s="11"/>
    </row>
    <row r="442" spans="4:6">
      <c r="D442" s="11"/>
      <c r="E442" s="11"/>
      <c r="F442" s="11"/>
    </row>
    <row r="443" spans="4:6">
      <c r="D443" s="11"/>
      <c r="E443" s="11"/>
      <c r="F443" s="11"/>
    </row>
    <row r="444" spans="4:6">
      <c r="D444" s="11"/>
      <c r="E444" s="11"/>
      <c r="F444" s="11"/>
    </row>
    <row r="445" spans="4:6">
      <c r="D445" s="11"/>
      <c r="E445" s="11"/>
      <c r="F445" s="11"/>
    </row>
    <row r="446" spans="4:6">
      <c r="D446" s="11"/>
      <c r="E446" s="11"/>
      <c r="F446" s="11"/>
    </row>
    <row r="447" spans="4:6">
      <c r="D447" s="11"/>
      <c r="E447" s="11"/>
      <c r="F447" s="11"/>
    </row>
    <row r="448" spans="4:6">
      <c r="D448" s="11"/>
      <c r="E448" s="11"/>
      <c r="F448" s="11"/>
    </row>
    <row r="449" spans="4:6">
      <c r="D449" s="11"/>
      <c r="E449" s="11"/>
      <c r="F449" s="11"/>
    </row>
    <row r="450" spans="4:6">
      <c r="D450" s="11"/>
      <c r="E450" s="11"/>
      <c r="F450" s="11"/>
    </row>
    <row r="451" spans="4:6">
      <c r="D451" s="11"/>
      <c r="E451" s="11"/>
      <c r="F451" s="11"/>
    </row>
    <row r="452" spans="4:6">
      <c r="D452" s="11"/>
      <c r="E452" s="11"/>
      <c r="F452" s="11"/>
    </row>
    <row r="453" spans="4:6">
      <c r="D453" s="11"/>
      <c r="E453" s="11"/>
      <c r="F453" s="11"/>
    </row>
    <row r="454" spans="4:6">
      <c r="D454" s="11"/>
      <c r="E454" s="11"/>
      <c r="F454" s="11"/>
    </row>
    <row r="455" spans="4:6">
      <c r="D455" s="11"/>
      <c r="E455" s="11"/>
      <c r="F455" s="11"/>
    </row>
    <row r="456" spans="4:6">
      <c r="D456" s="11"/>
      <c r="E456" s="11"/>
      <c r="F456" s="11"/>
    </row>
    <row r="457" spans="4:6">
      <c r="D457" s="11"/>
      <c r="E457" s="11"/>
      <c r="F457" s="11"/>
    </row>
    <row r="458" spans="4:6">
      <c r="D458" s="11"/>
      <c r="E458" s="11"/>
      <c r="F458" s="11"/>
    </row>
    <row r="459" spans="4:6">
      <c r="D459" s="11"/>
      <c r="E459" s="11"/>
      <c r="F459" s="11"/>
    </row>
    <row r="460" spans="4:6">
      <c r="D460" s="11"/>
      <c r="E460" s="11"/>
      <c r="F460" s="11"/>
    </row>
    <row r="461" spans="4:6">
      <c r="D461" s="11"/>
      <c r="E461" s="11"/>
      <c r="F461" s="11"/>
    </row>
    <row r="462" spans="4:6">
      <c r="D462" s="11"/>
      <c r="E462" s="11"/>
      <c r="F462" s="11"/>
    </row>
    <row r="463" spans="4:6">
      <c r="D463" s="11"/>
      <c r="E463" s="11"/>
      <c r="F463" s="11"/>
    </row>
    <row r="464" spans="4:6">
      <c r="D464" s="11"/>
      <c r="E464" s="11"/>
      <c r="F464" s="11"/>
    </row>
    <row r="465" spans="4:6">
      <c r="D465" s="11"/>
      <c r="E465" s="11"/>
      <c r="F465" s="11"/>
    </row>
    <row r="466" spans="4:6">
      <c r="D466" s="11"/>
      <c r="E466" s="11"/>
      <c r="F466" s="11"/>
    </row>
    <row r="467" spans="4:6">
      <c r="D467" s="11"/>
      <c r="E467" s="11"/>
      <c r="F467" s="11"/>
    </row>
    <row r="468" spans="4:6">
      <c r="D468" s="11"/>
      <c r="E468" s="11"/>
      <c r="F468" s="11"/>
    </row>
    <row r="469" spans="4:6">
      <c r="D469" s="11"/>
      <c r="E469" s="11"/>
      <c r="F469" s="11"/>
    </row>
    <row r="470" spans="4:6">
      <c r="D470" s="11"/>
      <c r="E470" s="11"/>
      <c r="F470" s="11"/>
    </row>
    <row r="471" spans="4:6">
      <c r="D471" s="11"/>
      <c r="E471" s="11"/>
      <c r="F471" s="11"/>
    </row>
    <row r="472" spans="4:6">
      <c r="D472" s="11"/>
      <c r="E472" s="11"/>
      <c r="F472" s="11"/>
    </row>
    <row r="473" spans="4:6">
      <c r="D473" s="11"/>
      <c r="E473" s="11"/>
      <c r="F473" s="11"/>
    </row>
    <row r="474" spans="4:6">
      <c r="D474" s="11"/>
      <c r="E474" s="11"/>
      <c r="F474" s="11"/>
    </row>
    <row r="475" spans="4:6">
      <c r="D475" s="11"/>
      <c r="E475" s="11"/>
      <c r="F475" s="11"/>
    </row>
    <row r="476" spans="4:6">
      <c r="D476" s="11"/>
      <c r="E476" s="11"/>
      <c r="F476" s="11"/>
    </row>
    <row r="477" spans="4:6">
      <c r="D477" s="11"/>
      <c r="E477" s="11"/>
      <c r="F477" s="11"/>
    </row>
    <row r="478" spans="4:6">
      <c r="D478" s="11"/>
      <c r="E478" s="11"/>
      <c r="F478" s="11"/>
    </row>
    <row r="479" spans="4:6">
      <c r="D479" s="11"/>
      <c r="E479" s="11"/>
      <c r="F479" s="11"/>
    </row>
    <row r="480" spans="4:6">
      <c r="D480" s="11"/>
      <c r="E480" s="11"/>
      <c r="F480" s="11"/>
    </row>
    <row r="481" spans="4:6">
      <c r="D481" s="11"/>
      <c r="E481" s="11"/>
      <c r="F481" s="11"/>
    </row>
    <row r="482" spans="4:6">
      <c r="D482" s="11"/>
      <c r="E482" s="11"/>
      <c r="F482" s="11"/>
    </row>
    <row r="483" spans="4:6">
      <c r="D483" s="11"/>
      <c r="E483" s="11"/>
      <c r="F483" s="11"/>
    </row>
    <row r="484" spans="4:6">
      <c r="D484" s="11"/>
      <c r="E484" s="11"/>
      <c r="F484" s="11"/>
    </row>
    <row r="485" spans="4:6">
      <c r="D485" s="11"/>
      <c r="E485" s="11"/>
      <c r="F485" s="11"/>
    </row>
    <row r="486" spans="4:6">
      <c r="D486" s="11"/>
      <c r="E486" s="11"/>
      <c r="F486" s="11"/>
    </row>
    <row r="487" spans="4:6">
      <c r="D487" s="11"/>
      <c r="E487" s="11"/>
      <c r="F487" s="11"/>
    </row>
    <row r="488" spans="4:6">
      <c r="D488" s="11"/>
      <c r="E488" s="11"/>
      <c r="F488" s="11"/>
    </row>
    <row r="489" spans="4:6">
      <c r="D489" s="11"/>
      <c r="E489" s="11"/>
      <c r="F489" s="11"/>
    </row>
    <row r="490" spans="4:6">
      <c r="D490" s="11"/>
      <c r="E490" s="11"/>
      <c r="F490" s="11"/>
    </row>
    <row r="491" spans="4:6">
      <c r="D491" s="11"/>
      <c r="E491" s="11"/>
      <c r="F491" s="11"/>
    </row>
    <row r="492" spans="4:6">
      <c r="D492" s="11"/>
      <c r="E492" s="11"/>
      <c r="F492" s="11"/>
    </row>
    <row r="493" spans="4:6">
      <c r="D493" s="11"/>
      <c r="E493" s="11"/>
      <c r="F493" s="11"/>
    </row>
    <row r="494" spans="4:6">
      <c r="D494" s="11"/>
      <c r="E494" s="11"/>
      <c r="F494" s="11"/>
    </row>
    <row r="495" spans="4:6">
      <c r="D495" s="11"/>
      <c r="E495" s="11"/>
      <c r="F495" s="11"/>
    </row>
    <row r="496" spans="4:6">
      <c r="D496" s="11"/>
      <c r="E496" s="11"/>
      <c r="F496" s="11"/>
    </row>
    <row r="497" spans="4:6">
      <c r="D497" s="11"/>
      <c r="E497" s="11"/>
      <c r="F497" s="11"/>
    </row>
    <row r="498" spans="4:6">
      <c r="D498" s="11"/>
      <c r="E498" s="11"/>
      <c r="F498" s="11"/>
    </row>
    <row r="499" spans="4:6">
      <c r="D499" s="11"/>
      <c r="E499" s="11"/>
      <c r="F499" s="11"/>
    </row>
    <row r="500" spans="4:6">
      <c r="D500" s="11"/>
      <c r="E500" s="11"/>
      <c r="F500" s="11"/>
    </row>
    <row r="501" spans="4:6">
      <c r="D501" s="11"/>
      <c r="E501" s="11"/>
      <c r="F501" s="11"/>
    </row>
    <row r="502" spans="4:6">
      <c r="D502" s="11"/>
      <c r="E502" s="11"/>
      <c r="F502" s="11"/>
    </row>
    <row r="503" spans="4:6">
      <c r="D503" s="11"/>
      <c r="E503" s="11"/>
      <c r="F503" s="11"/>
    </row>
    <row r="504" spans="4:6">
      <c r="D504" s="11"/>
      <c r="E504" s="11"/>
      <c r="F504" s="11"/>
    </row>
    <row r="505" spans="4:6">
      <c r="D505" s="11"/>
      <c r="E505" s="11"/>
      <c r="F505" s="11"/>
    </row>
    <row r="506" spans="4:6">
      <c r="D506" s="11"/>
      <c r="E506" s="11"/>
      <c r="F506" s="11"/>
    </row>
    <row r="507" spans="4:6">
      <c r="D507" s="11"/>
      <c r="E507" s="11"/>
      <c r="F507" s="11"/>
    </row>
    <row r="508" spans="4:6">
      <c r="D508" s="11"/>
      <c r="E508" s="11"/>
      <c r="F508" s="11"/>
    </row>
    <row r="509" spans="4:6">
      <c r="D509" s="11"/>
      <c r="E509" s="11"/>
      <c r="F509" s="11"/>
    </row>
    <row r="510" spans="4:6">
      <c r="D510" s="11"/>
      <c r="E510" s="11"/>
      <c r="F510" s="11"/>
    </row>
    <row r="511" spans="4:6">
      <c r="D511" s="11"/>
      <c r="E511" s="11"/>
      <c r="F511" s="11"/>
    </row>
    <row r="512" spans="4:6">
      <c r="D512" s="11"/>
      <c r="E512" s="11"/>
      <c r="F512" s="11"/>
    </row>
    <row r="513" spans="4:6">
      <c r="D513" s="11"/>
      <c r="E513" s="11"/>
      <c r="F513" s="11"/>
    </row>
    <row r="514" spans="4:6">
      <c r="D514" s="11"/>
      <c r="E514" s="11"/>
      <c r="F514" s="11"/>
    </row>
    <row r="515" spans="4:6">
      <c r="D515" s="11"/>
      <c r="E515" s="11"/>
      <c r="F515" s="11"/>
    </row>
    <row r="516" spans="4:6">
      <c r="D516" s="11"/>
      <c r="E516" s="11"/>
      <c r="F516" s="11"/>
    </row>
    <row r="517" spans="4:6">
      <c r="D517" s="11"/>
      <c r="E517" s="11"/>
      <c r="F517" s="11"/>
    </row>
    <row r="518" spans="4:6">
      <c r="D518" s="11"/>
      <c r="E518" s="11"/>
      <c r="F518" s="11"/>
    </row>
    <row r="519" spans="4:6">
      <c r="D519" s="11"/>
      <c r="E519" s="11"/>
      <c r="F519" s="11"/>
    </row>
    <row r="520" spans="4:6">
      <c r="D520" s="11"/>
      <c r="E520" s="11"/>
      <c r="F520" s="11"/>
    </row>
    <row r="521" spans="4:6">
      <c r="D521" s="11"/>
      <c r="E521" s="11"/>
      <c r="F521" s="11"/>
    </row>
    <row r="522" spans="4:6">
      <c r="D522" s="11"/>
      <c r="E522" s="11"/>
      <c r="F522" s="11"/>
    </row>
    <row r="523" spans="4:6">
      <c r="D523" s="11"/>
      <c r="E523" s="11"/>
      <c r="F523" s="11"/>
    </row>
    <row r="524" spans="4:6">
      <c r="D524" s="11"/>
      <c r="E524" s="11"/>
      <c r="F524" s="11"/>
    </row>
    <row r="525" spans="4:6">
      <c r="D525" s="11"/>
      <c r="E525" s="11"/>
      <c r="F525" s="11"/>
    </row>
    <row r="526" spans="4:6">
      <c r="D526" s="11"/>
      <c r="E526" s="11"/>
      <c r="F526" s="11"/>
    </row>
    <row r="527" spans="4:6">
      <c r="D527" s="11"/>
      <c r="E527" s="11"/>
      <c r="F527" s="11"/>
    </row>
    <row r="528" spans="4:6">
      <c r="D528" s="11"/>
      <c r="E528" s="11"/>
      <c r="F528" s="11"/>
    </row>
    <row r="529" spans="4:6">
      <c r="D529" s="11"/>
      <c r="E529" s="11"/>
      <c r="F529" s="11"/>
    </row>
    <row r="530" spans="4:6">
      <c r="D530" s="11"/>
      <c r="E530" s="11"/>
      <c r="F530" s="11"/>
    </row>
    <row r="531" spans="4:6">
      <c r="D531" s="11"/>
      <c r="E531" s="11"/>
      <c r="F531" s="11"/>
    </row>
    <row r="532" spans="4:6">
      <c r="D532" s="11"/>
      <c r="E532" s="11"/>
      <c r="F532" s="11"/>
    </row>
    <row r="533" spans="4:6">
      <c r="D533" s="11"/>
      <c r="E533" s="11"/>
      <c r="F533" s="11"/>
    </row>
    <row r="534" spans="4:6">
      <c r="D534" s="11"/>
      <c r="E534" s="11"/>
      <c r="F534" s="11"/>
    </row>
    <row r="535" spans="4:6">
      <c r="D535" s="11"/>
      <c r="E535" s="11"/>
      <c r="F535" s="11"/>
    </row>
    <row r="536" spans="4:6">
      <c r="D536" s="11"/>
      <c r="E536" s="11"/>
      <c r="F536" s="11"/>
    </row>
    <row r="537" spans="4:6">
      <c r="D537" s="11"/>
      <c r="E537" s="11"/>
      <c r="F537" s="11"/>
    </row>
    <row r="538" spans="4:6">
      <c r="D538" s="11"/>
      <c r="E538" s="11"/>
      <c r="F538" s="11"/>
    </row>
    <row r="539" spans="4:6">
      <c r="D539" s="11"/>
      <c r="E539" s="11"/>
      <c r="F539" s="11"/>
    </row>
    <row r="540" spans="4:6">
      <c r="D540" s="11"/>
      <c r="E540" s="11"/>
      <c r="F540" s="11"/>
    </row>
    <row r="541" spans="4:6">
      <c r="D541" s="11"/>
      <c r="E541" s="11"/>
      <c r="F541" s="11"/>
    </row>
    <row r="542" spans="4:6">
      <c r="D542" s="11"/>
      <c r="E542" s="11"/>
      <c r="F542" s="11"/>
    </row>
    <row r="543" spans="4:6">
      <c r="D543" s="11"/>
      <c r="E543" s="11"/>
      <c r="F543" s="11"/>
    </row>
    <row r="544" spans="4:6">
      <c r="D544" s="11"/>
      <c r="E544" s="11"/>
      <c r="F544" s="11"/>
    </row>
    <row r="545" spans="4:6">
      <c r="D545" s="11"/>
      <c r="E545" s="11"/>
      <c r="F545" s="11"/>
    </row>
    <row r="546" spans="4:6">
      <c r="D546" s="11"/>
      <c r="E546" s="11"/>
      <c r="F546" s="11"/>
    </row>
    <row r="547" spans="4:6">
      <c r="D547" s="11"/>
      <c r="E547" s="11"/>
      <c r="F547" s="11"/>
    </row>
    <row r="548" spans="4:6">
      <c r="D548" s="11"/>
      <c r="E548" s="11"/>
      <c r="F548" s="11"/>
    </row>
    <row r="549" spans="4:6">
      <c r="D549" s="11"/>
      <c r="E549" s="11"/>
      <c r="F549" s="11"/>
    </row>
    <row r="550" spans="4:6">
      <c r="D550" s="11"/>
      <c r="E550" s="11"/>
      <c r="F550" s="11"/>
    </row>
    <row r="551" spans="4:6">
      <c r="D551" s="11"/>
      <c r="E551" s="11"/>
      <c r="F551" s="11"/>
    </row>
    <row r="552" spans="4:6">
      <c r="D552" s="11"/>
      <c r="E552" s="11"/>
      <c r="F552" s="11"/>
    </row>
    <row r="553" spans="4:6">
      <c r="D553" s="11"/>
      <c r="E553" s="11"/>
      <c r="F553" s="11"/>
    </row>
    <row r="554" spans="4:6">
      <c r="D554" s="11"/>
      <c r="E554" s="11"/>
      <c r="F554" s="11"/>
    </row>
    <row r="555" spans="4:6">
      <c r="D555" s="11"/>
      <c r="E555" s="11"/>
      <c r="F555" s="11"/>
    </row>
    <row r="556" spans="4:6">
      <c r="D556" s="11"/>
      <c r="E556" s="11"/>
      <c r="F556" s="11"/>
    </row>
    <row r="557" spans="4:6">
      <c r="D557" s="11"/>
      <c r="E557" s="11"/>
      <c r="F557" s="11"/>
    </row>
    <row r="558" spans="4:6">
      <c r="D558" s="11"/>
      <c r="E558" s="11"/>
      <c r="F558" s="11"/>
    </row>
    <row r="559" spans="4:6">
      <c r="D559" s="11"/>
      <c r="E559" s="11"/>
      <c r="F559" s="11"/>
    </row>
    <row r="560" spans="4:6">
      <c r="D560" s="11"/>
      <c r="E560" s="11"/>
      <c r="F560" s="11"/>
    </row>
    <row r="561" spans="4:6">
      <c r="D561" s="11"/>
      <c r="E561" s="11"/>
      <c r="F561" s="11"/>
    </row>
    <row r="562" spans="4:6">
      <c r="D562" s="11"/>
      <c r="E562" s="11"/>
      <c r="F562" s="11"/>
    </row>
    <row r="563" spans="4:6">
      <c r="D563" s="11"/>
      <c r="E563" s="11"/>
      <c r="F563" s="11"/>
    </row>
    <row r="564" spans="4:6">
      <c r="D564" s="11"/>
      <c r="E564" s="11"/>
      <c r="F564" s="11"/>
    </row>
    <row r="565" spans="4:6">
      <c r="D565" s="11"/>
      <c r="E565" s="11"/>
      <c r="F565" s="11"/>
    </row>
    <row r="566" spans="4:6">
      <c r="D566" s="11"/>
      <c r="E566" s="11"/>
      <c r="F566" s="11"/>
    </row>
    <row r="567" spans="4:6">
      <c r="D567" s="11"/>
      <c r="E567" s="11"/>
      <c r="F567" s="11"/>
    </row>
    <row r="568" spans="4:6">
      <c r="D568" s="11"/>
      <c r="E568" s="11"/>
      <c r="F568" s="11"/>
    </row>
    <row r="569" spans="4:6">
      <c r="D569" s="11"/>
      <c r="E569" s="11"/>
      <c r="F569" s="11"/>
    </row>
    <row r="570" spans="4:6">
      <c r="D570" s="11"/>
      <c r="E570" s="11"/>
      <c r="F570" s="11"/>
    </row>
    <row r="571" spans="4:6">
      <c r="D571" s="11"/>
      <c r="E571" s="11"/>
      <c r="F571" s="11"/>
    </row>
    <row r="572" spans="4:6">
      <c r="D572" s="11"/>
      <c r="E572" s="11"/>
      <c r="F572" s="11"/>
    </row>
    <row r="573" spans="4:6">
      <c r="D573" s="11"/>
      <c r="E573" s="11"/>
      <c r="F573" s="11"/>
    </row>
    <row r="574" spans="4:6">
      <c r="D574" s="11"/>
      <c r="E574" s="11"/>
      <c r="F574" s="11"/>
    </row>
    <row r="575" spans="4:6">
      <c r="D575" s="11"/>
      <c r="E575" s="11"/>
      <c r="F575" s="11"/>
    </row>
    <row r="576" spans="4:6">
      <c r="D576" s="11"/>
      <c r="E576" s="11"/>
      <c r="F576" s="11"/>
    </row>
    <row r="577" spans="4:6">
      <c r="D577" s="11"/>
      <c r="E577" s="11"/>
      <c r="F577" s="11"/>
    </row>
    <row r="578" spans="4:6">
      <c r="D578" s="11"/>
      <c r="E578" s="11"/>
      <c r="F578" s="11"/>
    </row>
    <row r="579" spans="4:6">
      <c r="D579" s="11"/>
      <c r="E579" s="11"/>
      <c r="F579" s="11"/>
    </row>
    <row r="580" spans="4:6">
      <c r="D580" s="11"/>
      <c r="E580" s="11"/>
      <c r="F580" s="11"/>
    </row>
    <row r="581" spans="4:6">
      <c r="D581" s="11"/>
      <c r="E581" s="11"/>
      <c r="F581" s="11"/>
    </row>
    <row r="582" spans="4:6">
      <c r="D582" s="11"/>
      <c r="E582" s="11"/>
      <c r="F582" s="11"/>
    </row>
    <row r="583" spans="4:6">
      <c r="D583" s="11"/>
      <c r="E583" s="11"/>
      <c r="F583" s="11"/>
    </row>
    <row r="584" spans="4:6">
      <c r="D584" s="11"/>
      <c r="E584" s="11"/>
      <c r="F584" s="11"/>
    </row>
    <row r="585" spans="4:6">
      <c r="D585" s="11"/>
      <c r="E585" s="11"/>
      <c r="F585" s="11"/>
    </row>
    <row r="586" spans="4:6">
      <c r="D586" s="11"/>
      <c r="E586" s="11"/>
      <c r="F586" s="11"/>
    </row>
    <row r="587" spans="4:6">
      <c r="D587" s="11"/>
      <c r="E587" s="11"/>
      <c r="F587" s="11"/>
    </row>
    <row r="588" spans="4:6">
      <c r="D588" s="11"/>
      <c r="E588" s="11"/>
      <c r="F588" s="11"/>
    </row>
    <row r="589" spans="4:6">
      <c r="D589" s="11"/>
      <c r="E589" s="11"/>
      <c r="F589" s="11"/>
    </row>
    <row r="590" spans="4:6">
      <c r="D590" s="11"/>
      <c r="E590" s="11"/>
      <c r="F590" s="11"/>
    </row>
    <row r="591" spans="4:6">
      <c r="D591" s="11"/>
      <c r="E591" s="11"/>
      <c r="F591" s="11"/>
    </row>
    <row r="592" spans="4:6">
      <c r="D592" s="11"/>
      <c r="E592" s="11"/>
      <c r="F592" s="11"/>
    </row>
    <row r="593" spans="4:6">
      <c r="D593" s="11"/>
      <c r="E593" s="11"/>
      <c r="F593" s="11"/>
    </row>
    <row r="594" spans="4:6">
      <c r="D594" s="11"/>
      <c r="E594" s="11"/>
      <c r="F594" s="11"/>
    </row>
    <row r="595" spans="4:6">
      <c r="D595" s="11"/>
      <c r="E595" s="11"/>
      <c r="F595" s="11"/>
    </row>
    <row r="596" spans="4:6">
      <c r="D596" s="11"/>
      <c r="E596" s="11"/>
      <c r="F596" s="11"/>
    </row>
    <row r="597" spans="4:6">
      <c r="D597" s="11"/>
      <c r="E597" s="11"/>
      <c r="F597" s="11"/>
    </row>
    <row r="598" spans="4:6">
      <c r="D598" s="11"/>
      <c r="E598" s="11"/>
      <c r="F598" s="11"/>
    </row>
    <row r="599" spans="4:6">
      <c r="D599" s="11"/>
      <c r="E599" s="11"/>
      <c r="F599" s="11"/>
    </row>
    <row r="600" spans="4:6">
      <c r="D600" s="11"/>
      <c r="E600" s="11"/>
      <c r="F600" s="11"/>
    </row>
    <row r="601" spans="4:6">
      <c r="D601" s="11"/>
      <c r="E601" s="11"/>
      <c r="F601" s="11"/>
    </row>
    <row r="602" spans="4:6">
      <c r="D602" s="11"/>
      <c r="E602" s="11"/>
      <c r="F602" s="11"/>
    </row>
    <row r="603" spans="4:6">
      <c r="D603" s="11"/>
      <c r="E603" s="11"/>
      <c r="F603" s="11"/>
    </row>
    <row r="604" spans="4:6">
      <c r="D604" s="11"/>
      <c r="E604" s="11"/>
      <c r="F604" s="11"/>
    </row>
    <row r="605" spans="4:6">
      <c r="D605" s="11"/>
      <c r="E605" s="11"/>
      <c r="F605" s="11"/>
    </row>
    <row r="606" spans="4:6">
      <c r="D606" s="11"/>
      <c r="E606" s="11"/>
      <c r="F606" s="11"/>
    </row>
    <row r="607" spans="4:6">
      <c r="D607" s="11"/>
      <c r="E607" s="11"/>
      <c r="F607" s="11"/>
    </row>
    <row r="608" spans="4:6">
      <c r="D608" s="11"/>
      <c r="E608" s="11"/>
      <c r="F608" s="11"/>
    </row>
    <row r="609" spans="4:6">
      <c r="D609" s="11"/>
      <c r="E609" s="11"/>
      <c r="F609" s="11"/>
    </row>
    <row r="610" spans="4:6">
      <c r="D610" s="11"/>
      <c r="E610" s="11"/>
      <c r="F610" s="11"/>
    </row>
    <row r="611" spans="4:6">
      <c r="D611" s="11"/>
      <c r="E611" s="11"/>
      <c r="F611" s="11"/>
    </row>
    <row r="612" spans="4:6">
      <c r="D612" s="11"/>
      <c r="E612" s="11"/>
      <c r="F612" s="11"/>
    </row>
    <row r="613" spans="4:6">
      <c r="D613" s="11"/>
      <c r="E613" s="11"/>
      <c r="F613" s="11"/>
    </row>
    <row r="614" spans="4:6">
      <c r="D614" s="11"/>
      <c r="E614" s="11"/>
      <c r="F614" s="11"/>
    </row>
    <row r="615" spans="4:6">
      <c r="D615" s="11"/>
      <c r="E615" s="11"/>
      <c r="F615" s="11"/>
    </row>
    <row r="616" spans="4:6">
      <c r="D616" s="11"/>
      <c r="E616" s="11"/>
      <c r="F616" s="11"/>
    </row>
    <row r="617" spans="4:6">
      <c r="D617" s="11"/>
      <c r="E617" s="11"/>
      <c r="F617" s="11"/>
    </row>
    <row r="618" spans="4:6">
      <c r="D618" s="11"/>
      <c r="E618" s="11"/>
      <c r="F618" s="11"/>
    </row>
    <row r="619" spans="4:6">
      <c r="D619" s="11"/>
      <c r="E619" s="11"/>
      <c r="F619" s="11"/>
    </row>
    <row r="620" spans="4:6">
      <c r="D620" s="11"/>
      <c r="E620" s="11"/>
      <c r="F620" s="11"/>
    </row>
    <row r="621" spans="4:6">
      <c r="D621" s="11"/>
      <c r="E621" s="11"/>
      <c r="F621" s="11"/>
    </row>
    <row r="622" spans="4:6">
      <c r="D622" s="11"/>
      <c r="E622" s="11"/>
      <c r="F622" s="11"/>
    </row>
    <row r="623" spans="4:6">
      <c r="D623" s="11"/>
      <c r="E623" s="11"/>
      <c r="F623" s="11"/>
    </row>
    <row r="624" spans="4:6">
      <c r="D624" s="11"/>
      <c r="E624" s="11"/>
      <c r="F624" s="11"/>
    </row>
    <row r="625" spans="4:6">
      <c r="D625" s="11"/>
      <c r="E625" s="11"/>
      <c r="F625" s="11"/>
    </row>
    <row r="626" spans="4:6">
      <c r="D626" s="11"/>
      <c r="E626" s="11"/>
      <c r="F626" s="11"/>
    </row>
    <row r="627" spans="4:6">
      <c r="D627" s="11"/>
      <c r="E627" s="11"/>
      <c r="F627" s="11"/>
    </row>
    <row r="628" spans="4:6">
      <c r="D628" s="11"/>
      <c r="E628" s="11"/>
      <c r="F628" s="11"/>
    </row>
    <row r="629" spans="4:6">
      <c r="D629" s="11"/>
      <c r="E629" s="11"/>
      <c r="F629" s="11"/>
    </row>
    <row r="630" spans="4:6">
      <c r="D630" s="11"/>
      <c r="E630" s="11"/>
      <c r="F630" s="11"/>
    </row>
    <row r="631" spans="4:6">
      <c r="D631" s="11"/>
      <c r="E631" s="11"/>
      <c r="F631" s="11"/>
    </row>
    <row r="632" spans="4:6">
      <c r="D632" s="11"/>
      <c r="E632" s="11"/>
      <c r="F632" s="11"/>
    </row>
    <row r="633" spans="4:6">
      <c r="D633" s="11"/>
      <c r="E633" s="11"/>
      <c r="F633" s="11"/>
    </row>
    <row r="634" spans="4:6">
      <c r="D634" s="11"/>
      <c r="E634" s="11"/>
      <c r="F634" s="11"/>
    </row>
    <row r="635" spans="4:6">
      <c r="D635" s="11"/>
      <c r="E635" s="11"/>
      <c r="F635" s="11"/>
    </row>
    <row r="636" spans="4:6">
      <c r="D636" s="11"/>
      <c r="E636" s="11"/>
      <c r="F636" s="11"/>
    </row>
    <row r="637" spans="4:6">
      <c r="D637" s="11"/>
      <c r="E637" s="11"/>
      <c r="F637" s="11"/>
    </row>
    <row r="638" spans="4:6">
      <c r="D638" s="11"/>
      <c r="E638" s="11"/>
      <c r="F638" s="11"/>
    </row>
    <row r="639" spans="4:6">
      <c r="D639" s="11"/>
      <c r="E639" s="11"/>
      <c r="F639" s="11"/>
    </row>
    <row r="640" spans="4:6">
      <c r="D640" s="11"/>
      <c r="E640" s="11"/>
      <c r="F640" s="11"/>
    </row>
    <row r="641" spans="4:6">
      <c r="D641" s="11"/>
      <c r="E641" s="11"/>
      <c r="F641" s="11"/>
    </row>
    <row r="642" spans="4:6">
      <c r="D642" s="11"/>
      <c r="E642" s="11"/>
      <c r="F642" s="11"/>
    </row>
    <row r="643" spans="4:6">
      <c r="D643" s="11"/>
      <c r="E643" s="11"/>
      <c r="F643" s="11"/>
    </row>
    <row r="644" spans="4:6">
      <c r="D644" s="11"/>
      <c r="E644" s="11"/>
      <c r="F644" s="11"/>
    </row>
    <row r="645" spans="4:6">
      <c r="D645" s="11"/>
      <c r="E645" s="11"/>
      <c r="F645" s="11"/>
    </row>
    <row r="646" spans="4:6">
      <c r="D646" s="11"/>
      <c r="E646" s="11"/>
      <c r="F646" s="11"/>
    </row>
    <row r="647" spans="4:6">
      <c r="D647" s="11"/>
      <c r="E647" s="11"/>
      <c r="F647" s="11"/>
    </row>
    <row r="648" spans="4:6">
      <c r="D648" s="11"/>
      <c r="E648" s="11"/>
      <c r="F648" s="11"/>
    </row>
    <row r="649" spans="4:6">
      <c r="D649" s="11"/>
      <c r="E649" s="11"/>
      <c r="F649" s="11"/>
    </row>
    <row r="650" spans="4:6">
      <c r="D650" s="11"/>
      <c r="E650" s="11"/>
      <c r="F650" s="11"/>
    </row>
    <row r="651" spans="4:6">
      <c r="D651" s="11"/>
      <c r="E651" s="11"/>
      <c r="F651" s="11"/>
    </row>
    <row r="652" spans="4:6">
      <c r="D652" s="11"/>
      <c r="E652" s="11"/>
      <c r="F652" s="11"/>
    </row>
    <row r="653" spans="4:6">
      <c r="D653" s="11"/>
      <c r="E653" s="11"/>
      <c r="F653" s="11"/>
    </row>
    <row r="654" spans="4:6">
      <c r="D654" s="11"/>
      <c r="E654" s="11"/>
      <c r="F654" s="11"/>
    </row>
    <row r="655" spans="4:6">
      <c r="D655" s="11"/>
      <c r="E655" s="11"/>
      <c r="F655" s="11"/>
    </row>
    <row r="656" spans="4:6">
      <c r="D656" s="11"/>
      <c r="E656" s="11"/>
      <c r="F656" s="11"/>
    </row>
    <row r="657" spans="4:6">
      <c r="D657" s="11"/>
      <c r="E657" s="11"/>
      <c r="F657" s="11"/>
    </row>
    <row r="658" spans="4:6">
      <c r="D658" s="11"/>
      <c r="E658" s="11"/>
      <c r="F658" s="11"/>
    </row>
    <row r="659" spans="4:6">
      <c r="D659" s="11"/>
      <c r="E659" s="11"/>
      <c r="F659" s="11"/>
    </row>
    <row r="660" spans="4:6">
      <c r="D660" s="11"/>
      <c r="E660" s="11"/>
      <c r="F660" s="11"/>
    </row>
    <row r="661" spans="4:6">
      <c r="D661" s="11"/>
      <c r="E661" s="11"/>
      <c r="F661" s="11"/>
    </row>
    <row r="662" spans="4:6">
      <c r="D662" s="11"/>
      <c r="E662" s="11"/>
      <c r="F662" s="11"/>
    </row>
    <row r="663" spans="4:6">
      <c r="D663" s="11"/>
      <c r="E663" s="11"/>
      <c r="F663" s="11"/>
    </row>
    <row r="664" spans="4:6">
      <c r="D664" s="11"/>
      <c r="E664" s="11"/>
      <c r="F664" s="11"/>
    </row>
    <row r="665" spans="4:6">
      <c r="D665" s="11"/>
      <c r="E665" s="11"/>
      <c r="F665" s="11"/>
    </row>
    <row r="666" spans="4:6">
      <c r="D666" s="11"/>
      <c r="E666" s="11"/>
      <c r="F666" s="11"/>
    </row>
    <row r="667" spans="4:6">
      <c r="D667" s="11"/>
      <c r="E667" s="11"/>
      <c r="F667" s="11"/>
    </row>
    <row r="668" spans="4:6">
      <c r="D668" s="11"/>
      <c r="E668" s="11"/>
      <c r="F668" s="11"/>
    </row>
    <row r="669" spans="4:6">
      <c r="D669" s="11"/>
      <c r="E669" s="11"/>
      <c r="F669" s="11"/>
    </row>
    <row r="670" spans="4:6">
      <c r="D670" s="11"/>
      <c r="E670" s="11"/>
      <c r="F670" s="11"/>
    </row>
    <row r="671" spans="4:6">
      <c r="D671" s="11"/>
      <c r="E671" s="11"/>
      <c r="F671" s="11"/>
    </row>
    <row r="672" spans="4:6">
      <c r="D672" s="11"/>
      <c r="E672" s="11"/>
      <c r="F672" s="11"/>
    </row>
    <row r="673" spans="4:6">
      <c r="D673" s="11"/>
      <c r="E673" s="11"/>
      <c r="F673" s="11"/>
    </row>
    <row r="674" spans="4:6">
      <c r="D674" s="11"/>
      <c r="E674" s="11"/>
      <c r="F674" s="11"/>
    </row>
    <row r="675" spans="4:6">
      <c r="D675" s="11"/>
      <c r="E675" s="11"/>
      <c r="F675" s="11"/>
    </row>
    <row r="676" spans="4:6">
      <c r="D676" s="11"/>
      <c r="E676" s="11"/>
      <c r="F676" s="11"/>
    </row>
    <row r="677" spans="4:6">
      <c r="D677" s="11"/>
      <c r="E677" s="11"/>
      <c r="F677" s="11"/>
    </row>
    <row r="678" spans="4:6">
      <c r="D678" s="11"/>
      <c r="E678" s="11"/>
      <c r="F678" s="11"/>
    </row>
    <row r="679" spans="4:6">
      <c r="D679" s="11"/>
      <c r="E679" s="11"/>
      <c r="F679" s="11"/>
    </row>
    <row r="680" spans="4:6">
      <c r="D680" s="11"/>
      <c r="E680" s="11"/>
      <c r="F680" s="11"/>
    </row>
    <row r="681" spans="4:6">
      <c r="D681" s="11"/>
      <c r="E681" s="11"/>
      <c r="F681" s="11"/>
    </row>
    <row r="682" spans="4:6">
      <c r="D682" s="11"/>
      <c r="E682" s="11"/>
      <c r="F682" s="11"/>
    </row>
    <row r="683" spans="4:6">
      <c r="D683" s="11"/>
      <c r="E683" s="11"/>
      <c r="F683" s="11"/>
    </row>
    <row r="684" spans="4:6">
      <c r="D684" s="11"/>
      <c r="E684" s="11"/>
      <c r="F684" s="11"/>
    </row>
    <row r="685" spans="4:6">
      <c r="D685" s="11"/>
      <c r="E685" s="11"/>
      <c r="F685" s="11"/>
    </row>
    <row r="686" spans="4:6">
      <c r="D686" s="11"/>
      <c r="E686" s="11"/>
      <c r="F686" s="11"/>
    </row>
    <row r="687" spans="4:6">
      <c r="D687" s="11"/>
      <c r="E687" s="11"/>
      <c r="F687" s="11"/>
    </row>
    <row r="688" spans="4:6">
      <c r="D688" s="11"/>
      <c r="E688" s="11"/>
      <c r="F688" s="11"/>
    </row>
    <row r="689" spans="4:6">
      <c r="D689" s="11"/>
      <c r="E689" s="11"/>
      <c r="F689" s="11"/>
    </row>
    <row r="690" spans="4:6">
      <c r="D690" s="11"/>
      <c r="E690" s="11"/>
      <c r="F690" s="11"/>
    </row>
    <row r="691" spans="4:6">
      <c r="D691" s="11"/>
      <c r="E691" s="11"/>
      <c r="F691" s="11"/>
    </row>
    <row r="692" spans="4:6">
      <c r="D692" s="11"/>
      <c r="E692" s="11"/>
      <c r="F692" s="11"/>
    </row>
    <row r="693" spans="4:6">
      <c r="D693" s="11"/>
      <c r="E693" s="11"/>
      <c r="F693" s="11"/>
    </row>
    <row r="694" spans="4:6">
      <c r="D694" s="11"/>
      <c r="E694" s="11"/>
      <c r="F694" s="11"/>
    </row>
    <row r="695" spans="4:6">
      <c r="D695" s="11"/>
      <c r="E695" s="11"/>
      <c r="F695" s="11"/>
    </row>
    <row r="696" spans="4:6">
      <c r="D696" s="11"/>
      <c r="E696" s="11"/>
      <c r="F696" s="11"/>
    </row>
    <row r="697" spans="4:6">
      <c r="D697" s="11"/>
      <c r="E697" s="11"/>
      <c r="F697" s="11"/>
    </row>
    <row r="698" spans="4:6">
      <c r="D698" s="11"/>
      <c r="E698" s="11"/>
      <c r="F698" s="11"/>
    </row>
    <row r="699" spans="4:6">
      <c r="D699" s="11"/>
      <c r="E699" s="11"/>
      <c r="F699" s="11"/>
    </row>
    <row r="700" spans="4:6">
      <c r="D700" s="11"/>
      <c r="E700" s="11"/>
      <c r="F700" s="11"/>
    </row>
    <row r="701" spans="4:6">
      <c r="D701" s="11"/>
      <c r="E701" s="11"/>
      <c r="F701" s="11"/>
    </row>
    <row r="702" spans="4:6">
      <c r="D702" s="11"/>
      <c r="E702" s="11"/>
      <c r="F702" s="11"/>
    </row>
    <row r="703" spans="4:6">
      <c r="D703" s="11"/>
      <c r="E703" s="11"/>
      <c r="F703" s="11"/>
    </row>
    <row r="704" spans="4:6">
      <c r="D704" s="11"/>
      <c r="E704" s="11"/>
      <c r="F704" s="11"/>
    </row>
    <row r="705" spans="4:6">
      <c r="D705" s="11"/>
      <c r="E705" s="11"/>
      <c r="F705" s="11"/>
    </row>
    <row r="706" spans="4:6">
      <c r="D706" s="11"/>
      <c r="E706" s="11"/>
      <c r="F706" s="11"/>
    </row>
    <row r="707" spans="4:6">
      <c r="D707" s="11"/>
      <c r="E707" s="11"/>
      <c r="F707" s="11"/>
    </row>
    <row r="708" spans="4:6">
      <c r="D708" s="11"/>
      <c r="E708" s="11"/>
      <c r="F708" s="11"/>
    </row>
    <row r="709" spans="4:6">
      <c r="D709" s="11"/>
      <c r="E709" s="11"/>
      <c r="F709" s="11"/>
    </row>
    <row r="710" spans="4:6">
      <c r="D710" s="11"/>
      <c r="E710" s="11"/>
      <c r="F710" s="11"/>
    </row>
    <row r="711" spans="4:6">
      <c r="D711" s="11"/>
      <c r="E711" s="11"/>
      <c r="F711" s="11"/>
    </row>
    <row r="712" spans="4:6">
      <c r="D712" s="11"/>
      <c r="E712" s="11"/>
      <c r="F712" s="11"/>
    </row>
    <row r="713" spans="4:6">
      <c r="D713" s="11"/>
      <c r="E713" s="11"/>
      <c r="F713" s="11"/>
    </row>
    <row r="714" spans="4:6">
      <c r="D714" s="11"/>
      <c r="E714" s="11"/>
      <c r="F714" s="11"/>
    </row>
    <row r="715" spans="4:6">
      <c r="D715" s="11"/>
      <c r="E715" s="11"/>
      <c r="F715" s="11"/>
    </row>
    <row r="716" spans="4:6">
      <c r="D716" s="11"/>
      <c r="E716" s="11"/>
      <c r="F716" s="11"/>
    </row>
    <row r="717" spans="4:6">
      <c r="D717" s="11"/>
      <c r="E717" s="11"/>
      <c r="F717" s="11"/>
    </row>
    <row r="718" spans="4:6">
      <c r="D718" s="11"/>
      <c r="E718" s="11"/>
      <c r="F718" s="11"/>
    </row>
    <row r="719" spans="4:6">
      <c r="D719" s="11"/>
      <c r="E719" s="11"/>
      <c r="F719" s="11"/>
    </row>
    <row r="720" spans="4:6">
      <c r="D720" s="11"/>
      <c r="E720" s="11"/>
      <c r="F720" s="11"/>
    </row>
    <row r="721" spans="4:6">
      <c r="D721" s="11"/>
      <c r="E721" s="11"/>
      <c r="F721" s="11"/>
    </row>
    <row r="722" spans="4:6">
      <c r="D722" s="11"/>
      <c r="E722" s="11"/>
      <c r="F722" s="11"/>
    </row>
    <row r="723" spans="4:6">
      <c r="D723" s="11"/>
      <c r="E723" s="11"/>
      <c r="F723" s="11"/>
    </row>
    <row r="724" spans="4:6">
      <c r="D724" s="11"/>
      <c r="E724" s="11"/>
      <c r="F724" s="11"/>
    </row>
    <row r="725" spans="4:6">
      <c r="D725" s="11"/>
      <c r="E725" s="11"/>
      <c r="F725" s="11"/>
    </row>
    <row r="726" spans="4:6">
      <c r="D726" s="11"/>
      <c r="E726" s="11"/>
      <c r="F726" s="11"/>
    </row>
    <row r="727" spans="4:6">
      <c r="D727" s="11"/>
      <c r="E727" s="11"/>
      <c r="F727" s="11"/>
    </row>
    <row r="728" spans="4:6">
      <c r="D728" s="11"/>
      <c r="E728" s="11"/>
      <c r="F728" s="11"/>
    </row>
    <row r="729" spans="4:6">
      <c r="D729" s="11"/>
      <c r="E729" s="11"/>
      <c r="F729" s="11"/>
    </row>
    <row r="730" spans="4:6">
      <c r="D730" s="11"/>
      <c r="E730" s="11"/>
      <c r="F730" s="11"/>
    </row>
    <row r="731" spans="4:6">
      <c r="D731" s="11"/>
      <c r="E731" s="11"/>
      <c r="F731" s="11"/>
    </row>
    <row r="732" spans="4:6">
      <c r="D732" s="11"/>
      <c r="E732" s="11"/>
      <c r="F732" s="11"/>
    </row>
    <row r="733" spans="4:6">
      <c r="D733" s="11"/>
      <c r="E733" s="11"/>
      <c r="F733" s="11"/>
    </row>
    <row r="734" spans="4:6">
      <c r="D734" s="11"/>
      <c r="E734" s="11"/>
      <c r="F734" s="11"/>
    </row>
    <row r="735" spans="4:6">
      <c r="D735" s="11"/>
      <c r="E735" s="11"/>
      <c r="F735" s="11"/>
    </row>
    <row r="736" spans="4:6">
      <c r="D736" s="11"/>
      <c r="E736" s="11"/>
      <c r="F736" s="11"/>
    </row>
    <row r="737" spans="4:6">
      <c r="D737" s="11"/>
      <c r="E737" s="11"/>
      <c r="F737" s="11"/>
    </row>
    <row r="738" spans="4:6">
      <c r="D738" s="11"/>
      <c r="E738" s="11"/>
      <c r="F738" s="11"/>
    </row>
    <row r="739" spans="4:6">
      <c r="D739" s="11"/>
      <c r="E739" s="11"/>
      <c r="F739" s="11"/>
    </row>
    <row r="740" spans="4:6">
      <c r="D740" s="11"/>
      <c r="E740" s="11"/>
      <c r="F740" s="11"/>
    </row>
    <row r="741" spans="4:6">
      <c r="D741" s="11"/>
      <c r="E741" s="11"/>
      <c r="F741" s="11"/>
    </row>
    <row r="742" spans="4:6">
      <c r="D742" s="11"/>
      <c r="E742" s="11"/>
      <c r="F742" s="11"/>
    </row>
    <row r="743" spans="4:6">
      <c r="D743" s="11"/>
      <c r="E743" s="11"/>
      <c r="F743" s="11"/>
    </row>
    <row r="744" spans="4:6">
      <c r="D744" s="11"/>
      <c r="E744" s="11"/>
      <c r="F744" s="11"/>
    </row>
    <row r="745" spans="4:6">
      <c r="D745" s="11"/>
      <c r="E745" s="11"/>
      <c r="F745" s="11"/>
    </row>
    <row r="746" spans="4:6">
      <c r="D746" s="11"/>
      <c r="E746" s="11"/>
      <c r="F746" s="11"/>
    </row>
    <row r="747" spans="4:6">
      <c r="D747" s="11"/>
      <c r="E747" s="11"/>
      <c r="F747" s="11"/>
    </row>
    <row r="748" spans="4:6">
      <c r="D748" s="11"/>
      <c r="E748" s="11"/>
      <c r="F748" s="11"/>
    </row>
    <row r="749" spans="4:6">
      <c r="D749" s="11"/>
      <c r="E749" s="11"/>
      <c r="F749" s="11"/>
    </row>
    <row r="750" spans="4:6">
      <c r="D750" s="11"/>
      <c r="E750" s="11"/>
      <c r="F750" s="11"/>
    </row>
    <row r="751" spans="4:6">
      <c r="D751" s="11"/>
      <c r="E751" s="11"/>
      <c r="F751" s="11"/>
    </row>
    <row r="752" spans="4:6">
      <c r="D752" s="11"/>
      <c r="E752" s="11"/>
      <c r="F752" s="11"/>
    </row>
    <row r="753" spans="4:6">
      <c r="D753" s="11"/>
      <c r="E753" s="11"/>
      <c r="F753" s="11"/>
    </row>
    <row r="754" spans="4:6">
      <c r="D754" s="11"/>
      <c r="E754" s="11"/>
      <c r="F754" s="11"/>
    </row>
    <row r="755" spans="4:6">
      <c r="D755" s="11"/>
      <c r="E755" s="11"/>
      <c r="F755" s="11"/>
    </row>
    <row r="756" spans="4:6">
      <c r="D756" s="11"/>
      <c r="E756" s="11"/>
      <c r="F756" s="11"/>
    </row>
    <row r="757" spans="4:6">
      <c r="D757" s="11"/>
      <c r="E757" s="11"/>
      <c r="F757" s="11"/>
    </row>
    <row r="758" spans="4:6">
      <c r="D758" s="11"/>
      <c r="E758" s="11"/>
      <c r="F758" s="11"/>
    </row>
    <row r="759" spans="4:6">
      <c r="D759" s="11"/>
      <c r="E759" s="11"/>
      <c r="F759" s="11"/>
    </row>
    <row r="760" spans="4:6">
      <c r="D760" s="11"/>
      <c r="E760" s="11"/>
      <c r="F760" s="11"/>
    </row>
    <row r="761" spans="4:6">
      <c r="D761" s="11"/>
      <c r="E761" s="11"/>
      <c r="F761" s="11"/>
    </row>
    <row r="762" spans="4:6">
      <c r="D762" s="11"/>
      <c r="E762" s="11"/>
      <c r="F762" s="11"/>
    </row>
    <row r="763" spans="4:6">
      <c r="D763" s="11"/>
      <c r="E763" s="11"/>
      <c r="F763" s="11"/>
    </row>
    <row r="764" spans="4:6">
      <c r="D764" s="11"/>
      <c r="E764" s="11"/>
      <c r="F764" s="11"/>
    </row>
    <row r="765" spans="4:6">
      <c r="D765" s="11"/>
      <c r="E765" s="11"/>
      <c r="F765" s="11"/>
    </row>
    <row r="766" spans="4:6">
      <c r="D766" s="11"/>
      <c r="E766" s="11"/>
      <c r="F766" s="11"/>
    </row>
    <row r="767" spans="4:6">
      <c r="D767" s="11"/>
      <c r="E767" s="11"/>
      <c r="F767" s="11"/>
    </row>
    <row r="768" spans="4:6">
      <c r="D768" s="11"/>
      <c r="E768" s="11"/>
      <c r="F768" s="11"/>
    </row>
    <row r="769" spans="4:6">
      <c r="D769" s="11"/>
      <c r="E769" s="11"/>
      <c r="F769" s="11"/>
    </row>
    <row r="770" spans="4:6">
      <c r="D770" s="11"/>
      <c r="E770" s="11"/>
      <c r="F770" s="11"/>
    </row>
    <row r="771" spans="4:6">
      <c r="D771" s="11"/>
      <c r="E771" s="11"/>
      <c r="F771" s="11"/>
    </row>
    <row r="772" spans="4:6">
      <c r="D772" s="11"/>
      <c r="E772" s="11"/>
      <c r="F772" s="11"/>
    </row>
    <row r="773" spans="4:6">
      <c r="D773" s="11"/>
      <c r="E773" s="11"/>
      <c r="F773" s="11"/>
    </row>
    <row r="774" spans="4:6">
      <c r="D774" s="11"/>
      <c r="E774" s="11"/>
      <c r="F774" s="11"/>
    </row>
    <row r="775" spans="4:6">
      <c r="D775" s="11"/>
      <c r="E775" s="11"/>
      <c r="F775" s="11"/>
    </row>
    <row r="776" spans="4:6">
      <c r="D776" s="11"/>
      <c r="E776" s="11"/>
      <c r="F776" s="11"/>
    </row>
    <row r="777" spans="4:6">
      <c r="D777" s="11"/>
      <c r="E777" s="11"/>
      <c r="F777" s="11"/>
    </row>
    <row r="778" spans="4:6">
      <c r="D778" s="11"/>
      <c r="E778" s="11"/>
      <c r="F778" s="11"/>
    </row>
    <row r="779" spans="4:6">
      <c r="D779" s="11"/>
      <c r="E779" s="11"/>
      <c r="F779" s="11"/>
    </row>
    <row r="780" spans="4:6">
      <c r="D780" s="11"/>
      <c r="E780" s="11"/>
      <c r="F780" s="11"/>
    </row>
    <row r="781" spans="4:6">
      <c r="D781" s="11"/>
      <c r="E781" s="11"/>
      <c r="F781" s="11"/>
    </row>
    <row r="782" spans="4:6">
      <c r="D782" s="11"/>
      <c r="E782" s="11"/>
      <c r="F782" s="11"/>
    </row>
    <row r="783" spans="4:6">
      <c r="D783" s="11"/>
      <c r="E783" s="11"/>
      <c r="F783" s="11"/>
    </row>
    <row r="784" spans="4:6">
      <c r="D784" s="11"/>
      <c r="E784" s="11"/>
      <c r="F784" s="11"/>
    </row>
    <row r="785" spans="4:6">
      <c r="D785" s="11"/>
      <c r="E785" s="11"/>
      <c r="F785" s="11"/>
    </row>
    <row r="786" spans="4:6">
      <c r="D786" s="11"/>
      <c r="E786" s="11"/>
      <c r="F786" s="11"/>
    </row>
    <row r="787" spans="4:6">
      <c r="D787" s="11"/>
      <c r="E787" s="11"/>
      <c r="F787" s="11"/>
    </row>
    <row r="788" spans="4:6">
      <c r="D788" s="11"/>
      <c r="E788" s="11"/>
      <c r="F788" s="11"/>
    </row>
    <row r="789" spans="4:6">
      <c r="D789" s="11"/>
      <c r="E789" s="11"/>
      <c r="F789" s="11"/>
    </row>
    <row r="790" spans="4:6">
      <c r="D790" s="11"/>
      <c r="E790" s="11"/>
      <c r="F790" s="11"/>
    </row>
    <row r="791" spans="4:6">
      <c r="D791" s="11"/>
      <c r="E791" s="11"/>
      <c r="F791" s="11"/>
    </row>
    <row r="792" spans="4:6">
      <c r="D792" s="11"/>
      <c r="E792" s="11"/>
      <c r="F792" s="11"/>
    </row>
    <row r="793" spans="4:6">
      <c r="D793" s="11"/>
      <c r="E793" s="11"/>
      <c r="F793" s="11"/>
    </row>
    <row r="794" spans="4:6">
      <c r="D794" s="11"/>
      <c r="E794" s="11"/>
      <c r="F794" s="11"/>
    </row>
    <row r="795" spans="4:6">
      <c r="D795" s="11"/>
      <c r="E795" s="11"/>
      <c r="F795" s="11"/>
    </row>
    <row r="796" spans="4:6">
      <c r="D796" s="11"/>
      <c r="E796" s="11"/>
      <c r="F796" s="11"/>
    </row>
    <row r="797" spans="4:6">
      <c r="D797" s="11"/>
      <c r="E797" s="11"/>
      <c r="F797" s="11"/>
    </row>
    <row r="798" spans="4:6">
      <c r="D798" s="11"/>
      <c r="E798" s="11"/>
      <c r="F798" s="11"/>
    </row>
    <row r="799" spans="4:6">
      <c r="D799" s="11"/>
      <c r="E799" s="11"/>
      <c r="F799" s="11"/>
    </row>
    <row r="800" spans="4:6">
      <c r="D800" s="11"/>
      <c r="E800" s="11"/>
      <c r="F800" s="11"/>
    </row>
    <row r="801" spans="4:6">
      <c r="D801" s="11"/>
      <c r="E801" s="11"/>
      <c r="F801" s="11"/>
    </row>
    <row r="802" spans="4:6">
      <c r="D802" s="11"/>
      <c r="E802" s="11"/>
      <c r="F802" s="11"/>
    </row>
    <row r="803" spans="4:6">
      <c r="D803" s="11"/>
      <c r="E803" s="11"/>
      <c r="F803" s="11"/>
    </row>
    <row r="804" spans="4:6">
      <c r="D804" s="11"/>
      <c r="E804" s="11"/>
      <c r="F804" s="11"/>
    </row>
    <row r="805" spans="4:6">
      <c r="D805" s="11"/>
      <c r="E805" s="11"/>
      <c r="F805" s="11"/>
    </row>
    <row r="806" spans="4:6">
      <c r="D806" s="11"/>
      <c r="E806" s="11"/>
      <c r="F806" s="11"/>
    </row>
    <row r="807" spans="4:6">
      <c r="D807" s="11"/>
      <c r="E807" s="11"/>
      <c r="F807" s="11"/>
    </row>
    <row r="808" spans="4:6">
      <c r="D808" s="11"/>
      <c r="E808" s="11"/>
      <c r="F808" s="11"/>
    </row>
    <row r="809" spans="4:6">
      <c r="D809" s="11"/>
      <c r="E809" s="11"/>
      <c r="F809" s="11"/>
    </row>
    <row r="810" spans="4:6">
      <c r="D810" s="11"/>
      <c r="E810" s="11"/>
      <c r="F810" s="11"/>
    </row>
    <row r="811" spans="4:6">
      <c r="D811" s="11"/>
      <c r="E811" s="11"/>
      <c r="F811" s="11"/>
    </row>
    <row r="812" spans="4:6">
      <c r="D812" s="11"/>
      <c r="E812" s="11"/>
      <c r="F812" s="11"/>
    </row>
    <row r="813" spans="4:6">
      <c r="D813" s="11"/>
      <c r="E813" s="11"/>
      <c r="F813" s="11"/>
    </row>
    <row r="814" spans="4:6">
      <c r="D814" s="11"/>
      <c r="E814" s="11"/>
      <c r="F814" s="11"/>
    </row>
    <row r="815" spans="4:6">
      <c r="D815" s="11"/>
      <c r="E815" s="11"/>
      <c r="F815" s="11"/>
    </row>
    <row r="816" spans="4:6">
      <c r="D816" s="11"/>
      <c r="E816" s="11"/>
      <c r="F816" s="11"/>
    </row>
    <row r="817" spans="4:6">
      <c r="D817" s="11"/>
      <c r="E817" s="11"/>
      <c r="F817" s="11"/>
    </row>
    <row r="818" spans="4:6">
      <c r="D818" s="11"/>
      <c r="E818" s="11"/>
      <c r="F818" s="11"/>
    </row>
    <row r="819" spans="4:6">
      <c r="D819" s="11"/>
      <c r="E819" s="11"/>
      <c r="F819" s="11"/>
    </row>
    <row r="820" spans="4:6">
      <c r="D820" s="11"/>
      <c r="E820" s="11"/>
      <c r="F820" s="11"/>
    </row>
    <row r="821" spans="4:6">
      <c r="D821" s="11"/>
      <c r="E821" s="11"/>
      <c r="F821" s="11"/>
    </row>
    <row r="822" spans="4:6">
      <c r="D822" s="11"/>
      <c r="E822" s="11"/>
      <c r="F822" s="11"/>
    </row>
    <row r="823" spans="4:6">
      <c r="D823" s="11"/>
      <c r="E823" s="11"/>
      <c r="F823" s="11"/>
    </row>
    <row r="824" spans="4:6">
      <c r="D824" s="11"/>
      <c r="E824" s="11"/>
      <c r="F824" s="11"/>
    </row>
    <row r="825" spans="4:6">
      <c r="D825" s="11"/>
      <c r="E825" s="11"/>
      <c r="F825" s="11"/>
    </row>
    <row r="826" spans="4:6">
      <c r="D826" s="11"/>
      <c r="E826" s="11"/>
      <c r="F826" s="11"/>
    </row>
    <row r="827" spans="4:6">
      <c r="D827" s="11"/>
      <c r="E827" s="11"/>
      <c r="F827" s="11"/>
    </row>
    <row r="828" spans="4:6">
      <c r="D828" s="11"/>
      <c r="E828" s="11"/>
      <c r="F828" s="11"/>
    </row>
    <row r="829" spans="4:6">
      <c r="D829" s="11"/>
      <c r="E829" s="11"/>
      <c r="F829" s="11"/>
    </row>
    <row r="830" spans="4:6">
      <c r="D830" s="11"/>
      <c r="E830" s="11"/>
      <c r="F830" s="11"/>
    </row>
    <row r="831" spans="4:6">
      <c r="D831" s="11"/>
      <c r="E831" s="11"/>
      <c r="F831" s="11"/>
    </row>
    <row r="832" spans="4:6">
      <c r="D832" s="11"/>
      <c r="E832" s="11"/>
      <c r="F832" s="11"/>
    </row>
    <row r="833" spans="4:6">
      <c r="D833" s="11"/>
      <c r="E833" s="11"/>
      <c r="F833" s="11"/>
    </row>
    <row r="834" spans="4:6">
      <c r="D834" s="11"/>
      <c r="E834" s="11"/>
      <c r="F834" s="11"/>
    </row>
    <row r="835" spans="4:6">
      <c r="D835" s="11"/>
      <c r="E835" s="11"/>
      <c r="F835" s="11"/>
    </row>
    <row r="836" spans="4:6">
      <c r="D836" s="11"/>
      <c r="E836" s="11"/>
      <c r="F836" s="11"/>
    </row>
    <row r="837" spans="4:6">
      <c r="D837" s="11"/>
      <c r="E837" s="11"/>
      <c r="F837" s="11"/>
    </row>
    <row r="838" spans="4:6">
      <c r="D838" s="11"/>
      <c r="E838" s="11"/>
      <c r="F838" s="11"/>
    </row>
    <row r="839" spans="4:6">
      <c r="D839" s="11"/>
      <c r="E839" s="11"/>
      <c r="F839" s="11"/>
    </row>
    <row r="840" spans="4:6">
      <c r="D840" s="11"/>
      <c r="E840" s="11"/>
      <c r="F840" s="11"/>
    </row>
    <row r="841" spans="4:6">
      <c r="D841" s="11"/>
      <c r="E841" s="11"/>
      <c r="F841" s="11"/>
    </row>
    <row r="842" spans="4:6">
      <c r="D842" s="11"/>
      <c r="E842" s="11"/>
      <c r="F842" s="11"/>
    </row>
    <row r="843" spans="4:6">
      <c r="D843" s="11"/>
      <c r="E843" s="11"/>
      <c r="F843" s="11"/>
    </row>
    <row r="844" spans="4:6">
      <c r="D844" s="11"/>
      <c r="E844" s="11"/>
      <c r="F844" s="11"/>
    </row>
    <row r="845" spans="4:6">
      <c r="D845" s="11"/>
      <c r="E845" s="11"/>
      <c r="F845" s="11"/>
    </row>
    <row r="846" spans="4:6">
      <c r="D846" s="11"/>
      <c r="E846" s="11"/>
      <c r="F846" s="11"/>
    </row>
    <row r="847" spans="4:6">
      <c r="D847" s="11"/>
      <c r="E847" s="11"/>
      <c r="F847" s="11"/>
    </row>
    <row r="848" spans="4:6">
      <c r="D848" s="11"/>
      <c r="E848" s="11"/>
      <c r="F848" s="11"/>
    </row>
    <row r="849" spans="4:6">
      <c r="D849" s="11"/>
      <c r="E849" s="11"/>
      <c r="F849" s="11"/>
    </row>
    <row r="850" spans="4:6">
      <c r="D850" s="11"/>
      <c r="E850" s="11"/>
      <c r="F850" s="11"/>
    </row>
    <row r="851" spans="4:6">
      <c r="D851" s="11"/>
      <c r="E851" s="11"/>
      <c r="F851" s="11"/>
    </row>
    <row r="852" spans="4:6">
      <c r="D852" s="11"/>
      <c r="E852" s="11"/>
      <c r="F852" s="11"/>
    </row>
    <row r="853" spans="4:6">
      <c r="D853" s="11"/>
      <c r="E853" s="11"/>
      <c r="F853" s="11"/>
    </row>
    <row r="854" spans="4:6">
      <c r="D854" s="11"/>
      <c r="E854" s="11"/>
      <c r="F854" s="11"/>
    </row>
    <row r="855" spans="4:6">
      <c r="D855" s="11"/>
      <c r="E855" s="11"/>
      <c r="F855" s="11"/>
    </row>
    <row r="856" spans="4:6">
      <c r="D856" s="11"/>
      <c r="E856" s="11"/>
      <c r="F856" s="11"/>
    </row>
    <row r="857" spans="4:6">
      <c r="D857" s="11"/>
      <c r="E857" s="11"/>
      <c r="F857" s="11"/>
    </row>
    <row r="858" spans="4:6">
      <c r="D858" s="11"/>
      <c r="E858" s="11"/>
      <c r="F858" s="11"/>
    </row>
    <row r="859" spans="4:6">
      <c r="D859" s="11"/>
      <c r="E859" s="11"/>
      <c r="F859" s="11"/>
    </row>
    <row r="860" spans="4:6">
      <c r="D860" s="11"/>
      <c r="E860" s="11"/>
      <c r="F860" s="11"/>
    </row>
    <row r="861" spans="4:6">
      <c r="D861" s="11"/>
      <c r="E861" s="11"/>
      <c r="F861" s="11"/>
    </row>
    <row r="862" spans="4:6">
      <c r="D862" s="11"/>
      <c r="E862" s="11"/>
      <c r="F862" s="11"/>
    </row>
    <row r="863" spans="4:6">
      <c r="D863" s="11"/>
      <c r="E863" s="11"/>
      <c r="F863" s="11"/>
    </row>
    <row r="864" spans="4:6">
      <c r="D864" s="11"/>
      <c r="E864" s="11"/>
      <c r="F864" s="11"/>
    </row>
    <row r="865" spans="4:6">
      <c r="D865" s="11"/>
      <c r="E865" s="11"/>
      <c r="F865" s="11"/>
    </row>
    <row r="866" spans="4:6">
      <c r="D866" s="11"/>
      <c r="E866" s="11"/>
      <c r="F866" s="11"/>
    </row>
    <row r="867" spans="4:6">
      <c r="D867" s="11"/>
      <c r="E867" s="11"/>
      <c r="F867" s="11"/>
    </row>
    <row r="868" spans="4:6">
      <c r="D868" s="11"/>
      <c r="E868" s="11"/>
      <c r="F868" s="11"/>
    </row>
    <row r="869" spans="4:6">
      <c r="D869" s="11"/>
      <c r="E869" s="11"/>
      <c r="F869" s="11"/>
    </row>
    <row r="870" spans="4:6">
      <c r="D870" s="11"/>
      <c r="E870" s="11"/>
      <c r="F870" s="11"/>
    </row>
    <row r="871" spans="4:6">
      <c r="D871" s="11"/>
      <c r="E871" s="11"/>
      <c r="F871" s="11"/>
    </row>
    <row r="872" spans="4:6">
      <c r="D872" s="11"/>
      <c r="E872" s="11"/>
      <c r="F872" s="11"/>
    </row>
    <row r="873" spans="4:6">
      <c r="D873" s="11"/>
      <c r="E873" s="11"/>
      <c r="F873" s="11"/>
    </row>
    <row r="874" spans="4:6">
      <c r="D874" s="11"/>
      <c r="E874" s="11"/>
      <c r="F874" s="11"/>
    </row>
    <row r="875" spans="4:6">
      <c r="D875" s="11"/>
      <c r="E875" s="11"/>
      <c r="F875" s="11"/>
    </row>
    <row r="876" spans="4:6">
      <c r="D876" s="11"/>
      <c r="E876" s="11"/>
      <c r="F876" s="11"/>
    </row>
    <row r="877" spans="4:6">
      <c r="D877" s="11"/>
      <c r="E877" s="11"/>
      <c r="F877" s="11"/>
    </row>
    <row r="878" spans="4:6">
      <c r="D878" s="11"/>
      <c r="E878" s="11"/>
      <c r="F878" s="11"/>
    </row>
    <row r="879" spans="4:6">
      <c r="D879" s="11"/>
      <c r="E879" s="11"/>
      <c r="F879" s="11"/>
    </row>
    <row r="880" spans="4:6">
      <c r="D880" s="11"/>
      <c r="E880" s="11"/>
      <c r="F880" s="11"/>
    </row>
    <row r="881" spans="4:6">
      <c r="D881" s="11"/>
      <c r="E881" s="11"/>
      <c r="F881" s="11"/>
    </row>
    <row r="882" spans="4:6">
      <c r="D882" s="11"/>
      <c r="E882" s="11"/>
      <c r="F882" s="11"/>
    </row>
    <row r="883" spans="4:6">
      <c r="D883" s="11"/>
      <c r="E883" s="11"/>
      <c r="F883" s="11"/>
    </row>
    <row r="884" spans="4:6">
      <c r="D884" s="11"/>
      <c r="E884" s="11"/>
      <c r="F884" s="11"/>
    </row>
    <row r="885" spans="4:6">
      <c r="D885" s="11"/>
      <c r="E885" s="11"/>
      <c r="F885" s="11"/>
    </row>
    <row r="886" spans="4:6">
      <c r="D886" s="11"/>
      <c r="E886" s="11"/>
      <c r="F886" s="11"/>
    </row>
    <row r="887" spans="4:6">
      <c r="D887" s="11"/>
      <c r="E887" s="11"/>
      <c r="F887" s="11"/>
    </row>
    <row r="888" spans="4:6">
      <c r="D888" s="11"/>
      <c r="E888" s="11"/>
      <c r="F888" s="11"/>
    </row>
    <row r="889" spans="4:6">
      <c r="D889" s="11"/>
      <c r="E889" s="11"/>
      <c r="F889" s="11"/>
    </row>
    <row r="890" spans="4:6">
      <c r="D890" s="11"/>
      <c r="E890" s="11"/>
      <c r="F890" s="11"/>
    </row>
    <row r="891" spans="4:6">
      <c r="D891" s="11"/>
      <c r="E891" s="11"/>
      <c r="F891" s="11"/>
    </row>
    <row r="892" spans="4:6">
      <c r="D892" s="11"/>
      <c r="E892" s="11"/>
      <c r="F892" s="11"/>
    </row>
    <row r="893" spans="4:6">
      <c r="D893" s="11"/>
      <c r="E893" s="11"/>
      <c r="F893" s="11"/>
    </row>
    <row r="894" spans="4:6">
      <c r="D894" s="11"/>
      <c r="E894" s="11"/>
      <c r="F894" s="11"/>
    </row>
    <row r="895" spans="4:6">
      <c r="D895" s="11"/>
      <c r="E895" s="11"/>
      <c r="F895" s="11"/>
    </row>
    <row r="896" spans="4:6">
      <c r="D896" s="11"/>
      <c r="E896" s="11"/>
      <c r="F896" s="11"/>
    </row>
    <row r="897" spans="4:6">
      <c r="D897" s="11"/>
      <c r="E897" s="11"/>
      <c r="F897" s="11"/>
    </row>
    <row r="898" spans="4:6">
      <c r="D898" s="11"/>
      <c r="E898" s="11"/>
      <c r="F898" s="11"/>
    </row>
    <row r="899" spans="4:6">
      <c r="D899" s="11"/>
      <c r="E899" s="11"/>
      <c r="F899" s="11"/>
    </row>
    <row r="900" spans="4:6">
      <c r="D900" s="11"/>
      <c r="E900" s="11"/>
      <c r="F900" s="11"/>
    </row>
    <row r="901" spans="4:6">
      <c r="D901" s="11"/>
      <c r="E901" s="11"/>
      <c r="F901" s="11"/>
    </row>
    <row r="902" spans="4:6">
      <c r="D902" s="11"/>
      <c r="E902" s="11"/>
      <c r="F902" s="11"/>
    </row>
    <row r="903" spans="4:6">
      <c r="D903" s="11"/>
      <c r="E903" s="11"/>
      <c r="F903" s="11"/>
    </row>
    <row r="904" spans="4:6">
      <c r="D904" s="11"/>
      <c r="E904" s="11"/>
      <c r="F904" s="11"/>
    </row>
    <row r="905" spans="4:6">
      <c r="D905" s="11"/>
      <c r="E905" s="11"/>
      <c r="F905" s="11"/>
    </row>
    <row r="906" spans="4:6">
      <c r="D906" s="11"/>
      <c r="E906" s="11"/>
      <c r="F906" s="11"/>
    </row>
    <row r="907" spans="4:6">
      <c r="D907" s="11"/>
      <c r="E907" s="11"/>
      <c r="F907" s="11"/>
    </row>
    <row r="908" spans="4:6">
      <c r="D908" s="11"/>
      <c r="E908" s="11"/>
      <c r="F908" s="11"/>
    </row>
    <row r="909" spans="4:6">
      <c r="D909" s="11"/>
      <c r="E909" s="11"/>
      <c r="F909" s="11"/>
    </row>
    <row r="910" spans="4:6">
      <c r="D910" s="11"/>
      <c r="E910" s="11"/>
      <c r="F910" s="11"/>
    </row>
    <row r="911" spans="4:6">
      <c r="D911" s="11"/>
      <c r="E911" s="11"/>
      <c r="F911" s="11"/>
    </row>
    <row r="912" spans="4:6">
      <c r="D912" s="11"/>
      <c r="E912" s="11"/>
      <c r="F912" s="11"/>
    </row>
    <row r="913" spans="4:6">
      <c r="D913" s="11"/>
      <c r="E913" s="11"/>
      <c r="F913" s="11"/>
    </row>
    <row r="914" spans="4:6">
      <c r="D914" s="11"/>
      <c r="E914" s="11"/>
      <c r="F914" s="11"/>
    </row>
    <row r="915" spans="4:6">
      <c r="D915" s="11"/>
      <c r="E915" s="11"/>
      <c r="F915" s="11"/>
    </row>
    <row r="916" spans="4:6">
      <c r="D916" s="11"/>
      <c r="E916" s="11"/>
      <c r="F916" s="11"/>
    </row>
    <row r="917" spans="4:6">
      <c r="D917" s="11"/>
      <c r="E917" s="11"/>
      <c r="F917" s="11"/>
    </row>
    <row r="918" spans="4:6">
      <c r="D918" s="11"/>
      <c r="E918" s="11"/>
      <c r="F918" s="11"/>
    </row>
    <row r="919" spans="4:6">
      <c r="D919" s="11"/>
      <c r="E919" s="11"/>
      <c r="F919" s="11"/>
    </row>
    <row r="920" spans="4:6">
      <c r="D920" s="11"/>
      <c r="E920" s="11"/>
      <c r="F920" s="11"/>
    </row>
    <row r="921" spans="4:6">
      <c r="D921" s="11"/>
      <c r="E921" s="11"/>
      <c r="F921" s="11"/>
    </row>
    <row r="922" spans="4:6">
      <c r="D922" s="11"/>
      <c r="E922" s="11"/>
      <c r="F922" s="11"/>
    </row>
    <row r="923" spans="4:6">
      <c r="D923" s="11"/>
      <c r="E923" s="11"/>
      <c r="F923" s="11"/>
    </row>
    <row r="924" spans="4:6">
      <c r="D924" s="11"/>
      <c r="E924" s="11"/>
      <c r="F924" s="11"/>
    </row>
    <row r="925" spans="4:6">
      <c r="D925" s="11"/>
      <c r="E925" s="11"/>
      <c r="F925" s="11"/>
    </row>
    <row r="926" spans="4:6">
      <c r="D926" s="11"/>
      <c r="E926" s="11"/>
      <c r="F926" s="11"/>
    </row>
    <row r="927" spans="4:6">
      <c r="D927" s="11"/>
      <c r="E927" s="11"/>
      <c r="F927" s="11"/>
    </row>
    <row r="928" spans="4:6">
      <c r="D928" s="11"/>
      <c r="E928" s="11"/>
      <c r="F928" s="11"/>
    </row>
    <row r="929" spans="4:6">
      <c r="D929" s="11"/>
      <c r="E929" s="11"/>
      <c r="F929" s="11"/>
    </row>
    <row r="930" spans="4:6">
      <c r="D930" s="11"/>
      <c r="E930" s="11"/>
      <c r="F930" s="11"/>
    </row>
    <row r="931" spans="4:6">
      <c r="D931" s="11"/>
      <c r="E931" s="11"/>
      <c r="F931" s="11"/>
    </row>
    <row r="932" spans="4:6">
      <c r="D932" s="11"/>
      <c r="E932" s="11"/>
      <c r="F932" s="11"/>
    </row>
    <row r="933" spans="4:6">
      <c r="D933" s="11"/>
      <c r="E933" s="11"/>
      <c r="F933" s="11"/>
    </row>
    <row r="934" spans="4:6">
      <c r="D934" s="11"/>
      <c r="E934" s="11"/>
      <c r="F934" s="11"/>
    </row>
    <row r="935" spans="4:6">
      <c r="D935" s="11"/>
      <c r="E935" s="11"/>
      <c r="F935" s="11"/>
    </row>
    <row r="936" spans="4:6">
      <c r="D936" s="11"/>
      <c r="E936" s="11"/>
      <c r="F936" s="11"/>
    </row>
    <row r="937" spans="4:6">
      <c r="D937" s="11"/>
      <c r="E937" s="11"/>
      <c r="F937" s="11"/>
    </row>
    <row r="938" spans="4:6">
      <c r="D938" s="11"/>
      <c r="E938" s="11"/>
      <c r="F938" s="11"/>
    </row>
    <row r="939" spans="4:6">
      <c r="D939" s="11"/>
      <c r="E939" s="11"/>
      <c r="F939" s="11"/>
    </row>
    <row r="940" spans="4:6">
      <c r="D940" s="11"/>
      <c r="E940" s="11"/>
      <c r="F940" s="11"/>
    </row>
    <row r="941" spans="4:6">
      <c r="D941" s="11"/>
      <c r="E941" s="11"/>
      <c r="F941" s="11"/>
    </row>
    <row r="942" spans="4:6">
      <c r="D942" s="11"/>
      <c r="E942" s="11"/>
      <c r="F942" s="11"/>
    </row>
    <row r="943" spans="4:6">
      <c r="D943" s="11"/>
      <c r="E943" s="11"/>
      <c r="F943" s="11"/>
    </row>
    <row r="944" spans="4:6">
      <c r="D944" s="11"/>
      <c r="E944" s="11"/>
      <c r="F944" s="11"/>
    </row>
    <row r="945" spans="4:6">
      <c r="D945" s="11"/>
      <c r="E945" s="11"/>
      <c r="F945" s="11"/>
    </row>
    <row r="946" spans="4:6">
      <c r="D946" s="11"/>
      <c r="E946" s="11"/>
      <c r="F946" s="11"/>
    </row>
    <row r="947" spans="4:6">
      <c r="D947" s="11"/>
      <c r="E947" s="11"/>
      <c r="F947" s="11"/>
    </row>
    <row r="948" spans="4:6">
      <c r="D948" s="11"/>
      <c r="E948" s="11"/>
      <c r="F948" s="11"/>
    </row>
    <row r="949" spans="4:6">
      <c r="D949" s="11"/>
      <c r="E949" s="11"/>
      <c r="F949" s="11"/>
    </row>
    <row r="950" spans="4:6">
      <c r="D950" s="11"/>
      <c r="E950" s="11"/>
      <c r="F950" s="11"/>
    </row>
    <row r="951" spans="4:6">
      <c r="D951" s="11"/>
      <c r="E951" s="11"/>
      <c r="F951" s="11"/>
    </row>
    <row r="952" spans="4:6">
      <c r="D952" s="11"/>
      <c r="E952" s="11"/>
      <c r="F952" s="11"/>
    </row>
    <row r="953" spans="4:6">
      <c r="D953" s="11"/>
      <c r="E953" s="11"/>
      <c r="F953" s="11"/>
    </row>
    <row r="954" spans="4:6">
      <c r="D954" s="11"/>
      <c r="E954" s="11"/>
      <c r="F954" s="11"/>
    </row>
    <row r="955" spans="4:6">
      <c r="D955" s="11"/>
      <c r="E955" s="11"/>
      <c r="F955" s="11"/>
    </row>
    <row r="956" spans="4:6">
      <c r="D956" s="11"/>
      <c r="E956" s="11"/>
      <c r="F956" s="11"/>
    </row>
    <row r="957" spans="4:6">
      <c r="D957" s="11"/>
      <c r="E957" s="11"/>
      <c r="F957" s="11"/>
    </row>
    <row r="958" spans="4:6">
      <c r="D958" s="11"/>
      <c r="E958" s="11"/>
      <c r="F958" s="11"/>
    </row>
    <row r="959" spans="4:6">
      <c r="D959" s="11"/>
      <c r="E959" s="11"/>
      <c r="F959" s="11"/>
    </row>
    <row r="960" spans="4:6">
      <c r="D960" s="11"/>
      <c r="E960" s="11"/>
      <c r="F960" s="11"/>
    </row>
    <row r="961" spans="4:6">
      <c r="D961" s="11"/>
      <c r="E961" s="11"/>
      <c r="F961" s="11"/>
    </row>
    <row r="962" spans="4:6">
      <c r="D962" s="11"/>
      <c r="E962" s="11"/>
      <c r="F962" s="11"/>
    </row>
    <row r="963" spans="4:6">
      <c r="D963" s="11"/>
      <c r="E963" s="11"/>
      <c r="F963" s="11"/>
    </row>
    <row r="964" spans="4:6">
      <c r="D964" s="11"/>
      <c r="E964" s="11"/>
      <c r="F964" s="11"/>
    </row>
    <row r="965" spans="4:6">
      <c r="D965" s="11"/>
      <c r="E965" s="11"/>
      <c r="F965" s="11"/>
    </row>
    <row r="966" spans="4:6">
      <c r="D966" s="11"/>
      <c r="E966" s="11"/>
      <c r="F966" s="11"/>
    </row>
    <row r="967" spans="4:6">
      <c r="D967" s="11"/>
      <c r="E967" s="11"/>
      <c r="F967" s="11"/>
    </row>
    <row r="968" spans="4:6">
      <c r="D968" s="11"/>
      <c r="E968" s="11"/>
      <c r="F968" s="11"/>
    </row>
    <row r="969" spans="4:6">
      <c r="D969" s="11"/>
      <c r="E969" s="11"/>
      <c r="F969" s="11"/>
    </row>
    <row r="970" spans="4:6">
      <c r="D970" s="11"/>
      <c r="E970" s="11"/>
      <c r="F970" s="11"/>
    </row>
    <row r="971" spans="4:6">
      <c r="D971" s="11"/>
      <c r="E971" s="11"/>
      <c r="F971" s="11"/>
    </row>
    <row r="972" spans="4:6">
      <c r="D972" s="11"/>
      <c r="E972" s="11"/>
      <c r="F972" s="11"/>
    </row>
    <row r="973" spans="4:6">
      <c r="D973" s="11"/>
      <c r="E973" s="11"/>
      <c r="F973" s="11"/>
    </row>
    <row r="974" spans="4:6">
      <c r="D974" s="11"/>
      <c r="E974" s="11"/>
      <c r="F974" s="11"/>
    </row>
    <row r="975" spans="4:6">
      <c r="D975" s="11"/>
      <c r="E975" s="11"/>
      <c r="F975" s="11"/>
    </row>
    <row r="976" spans="4:6">
      <c r="D976" s="11"/>
      <c r="E976" s="11"/>
      <c r="F976" s="11"/>
    </row>
    <row r="977" spans="4:6">
      <c r="D977" s="11"/>
      <c r="E977" s="11"/>
      <c r="F977" s="11"/>
    </row>
    <row r="978" spans="4:6">
      <c r="D978" s="11"/>
      <c r="E978" s="11"/>
      <c r="F978" s="11"/>
    </row>
    <row r="979" spans="4:6">
      <c r="D979" s="11"/>
      <c r="E979" s="11"/>
      <c r="F979" s="11"/>
    </row>
    <row r="980" spans="4:6">
      <c r="D980" s="11"/>
      <c r="E980" s="11"/>
      <c r="F980" s="11"/>
    </row>
    <row r="981" spans="4:6">
      <c r="D981" s="11"/>
      <c r="E981" s="11"/>
      <c r="F981" s="11"/>
    </row>
    <row r="982" spans="4:6">
      <c r="D982" s="11"/>
      <c r="E982" s="11"/>
      <c r="F982" s="11"/>
    </row>
    <row r="983" spans="4:6">
      <c r="D983" s="11"/>
      <c r="E983" s="11"/>
      <c r="F983" s="11"/>
    </row>
    <row r="984" spans="4:6">
      <c r="D984" s="11"/>
      <c r="E984" s="11"/>
      <c r="F984" s="11"/>
    </row>
    <row r="985" spans="4:6">
      <c r="D985" s="11"/>
      <c r="E985" s="11"/>
      <c r="F985" s="11"/>
    </row>
    <row r="986" spans="4:6">
      <c r="D986" s="11"/>
      <c r="E986" s="11"/>
      <c r="F986" s="11"/>
    </row>
    <row r="987" spans="4:6">
      <c r="D987" s="11"/>
      <c r="E987" s="11"/>
      <c r="F987" s="11"/>
    </row>
    <row r="988" spans="4:6">
      <c r="D988" s="11"/>
      <c r="E988" s="11"/>
      <c r="F988" s="11"/>
    </row>
    <row r="989" spans="4:6">
      <c r="D989" s="11"/>
      <c r="E989" s="11"/>
      <c r="F989" s="11"/>
    </row>
    <row r="990" spans="4:6">
      <c r="D990" s="11"/>
      <c r="E990" s="11"/>
      <c r="F990" s="11"/>
    </row>
    <row r="991" spans="4:6">
      <c r="D991" s="11"/>
      <c r="E991" s="11"/>
      <c r="F991" s="11"/>
    </row>
    <row r="992" spans="4:6">
      <c r="D992" s="11"/>
      <c r="E992" s="11"/>
      <c r="F992" s="11"/>
    </row>
    <row r="993" spans="4:6">
      <c r="D993" s="11"/>
      <c r="E993" s="11"/>
      <c r="F993" s="11"/>
    </row>
    <row r="994" spans="4:6">
      <c r="D994" s="11"/>
      <c r="E994" s="11"/>
      <c r="F994" s="11"/>
    </row>
    <row r="995" spans="4:6">
      <c r="D995" s="11"/>
      <c r="E995" s="11"/>
      <c r="F995" s="11"/>
    </row>
    <row r="996" spans="4:6">
      <c r="D996" s="11"/>
      <c r="E996" s="11"/>
      <c r="F996" s="11"/>
    </row>
    <row r="997" spans="4:6">
      <c r="D997" s="11"/>
      <c r="E997" s="11"/>
      <c r="F997" s="11"/>
    </row>
    <row r="998" spans="4:6">
      <c r="D998" s="11"/>
      <c r="E998" s="11"/>
      <c r="F998" s="11"/>
    </row>
    <row r="999" spans="4:6">
      <c r="D999" s="11"/>
      <c r="E999" s="11"/>
      <c r="F999" s="11"/>
    </row>
    <row r="1000" spans="4:6">
      <c r="D1000" s="11"/>
      <c r="E1000" s="11"/>
      <c r="F1000" s="11"/>
    </row>
    <row r="1001" spans="4:6">
      <c r="D1001" s="11"/>
      <c r="E1001" s="11"/>
      <c r="F1001" s="11"/>
    </row>
    <row r="1002" spans="4:6">
      <c r="D1002" s="11"/>
      <c r="E1002" s="11"/>
      <c r="F1002" s="11"/>
    </row>
    <row r="1003" spans="4:6">
      <c r="D1003" s="11"/>
      <c r="E1003" s="11"/>
      <c r="F1003" s="11"/>
    </row>
    <row r="1004" spans="4:6">
      <c r="D1004" s="11"/>
      <c r="E1004" s="11"/>
      <c r="F1004" s="11"/>
    </row>
    <row r="1005" spans="4:6">
      <c r="D1005" s="11"/>
      <c r="E1005" s="11"/>
      <c r="F1005" s="11"/>
    </row>
    <row r="1006" spans="4:6">
      <c r="D1006" s="11"/>
      <c r="E1006" s="11"/>
      <c r="F1006" s="11"/>
    </row>
    <row r="1007" spans="4:6">
      <c r="D1007" s="11"/>
      <c r="E1007" s="11"/>
      <c r="F1007" s="11"/>
    </row>
    <row r="1008" spans="4:6">
      <c r="D1008" s="11"/>
      <c r="E1008" s="11"/>
      <c r="F1008" s="11"/>
    </row>
    <row r="1009" spans="4:6">
      <c r="D1009" s="11"/>
      <c r="E1009" s="11"/>
      <c r="F1009" s="11"/>
    </row>
    <row r="1010" spans="4:6">
      <c r="D1010" s="11"/>
      <c r="E1010" s="11"/>
      <c r="F1010" s="11"/>
    </row>
    <row r="1011" spans="4:6">
      <c r="D1011" s="11"/>
      <c r="E1011" s="11"/>
      <c r="F1011" s="11"/>
    </row>
    <row r="1012" spans="4:6">
      <c r="D1012" s="11"/>
      <c r="E1012" s="11"/>
      <c r="F1012" s="11"/>
    </row>
    <row r="1013" spans="4:6">
      <c r="D1013" s="11"/>
      <c r="E1013" s="11"/>
      <c r="F1013" s="11"/>
    </row>
    <row r="1014" spans="4:6">
      <c r="D1014" s="11"/>
      <c r="E1014" s="11"/>
      <c r="F1014" s="11"/>
    </row>
    <row r="1015" spans="4:6">
      <c r="D1015" s="11"/>
      <c r="E1015" s="11"/>
      <c r="F1015" s="11"/>
    </row>
    <row r="1016" spans="4:6">
      <c r="D1016" s="11"/>
      <c r="E1016" s="11"/>
      <c r="F1016" s="11"/>
    </row>
    <row r="1017" spans="4:6">
      <c r="D1017" s="11"/>
      <c r="E1017" s="11"/>
      <c r="F1017" s="11"/>
    </row>
    <row r="1018" spans="4:6">
      <c r="D1018" s="11"/>
      <c r="E1018" s="11"/>
      <c r="F1018" s="11"/>
    </row>
    <row r="1019" spans="4:6">
      <c r="D1019" s="11"/>
      <c r="E1019" s="11"/>
      <c r="F1019" s="11"/>
    </row>
    <row r="1020" spans="4:6">
      <c r="D1020" s="11"/>
      <c r="E1020" s="11"/>
      <c r="F1020" s="11"/>
    </row>
    <row r="1021" spans="4:6">
      <c r="D1021" s="11"/>
      <c r="E1021" s="11"/>
      <c r="F1021" s="11"/>
    </row>
    <row r="1022" spans="4:6">
      <c r="D1022" s="11"/>
      <c r="E1022" s="11"/>
      <c r="F1022" s="11"/>
    </row>
    <row r="1023" spans="4:6">
      <c r="D1023" s="11"/>
      <c r="E1023" s="11"/>
      <c r="F1023" s="11"/>
    </row>
    <row r="1024" spans="4:6">
      <c r="D1024" s="11"/>
      <c r="E1024" s="11"/>
      <c r="F1024" s="11"/>
    </row>
    <row r="1025" spans="4:6">
      <c r="D1025" s="11"/>
      <c r="E1025" s="11"/>
      <c r="F1025" s="11"/>
    </row>
    <row r="1026" spans="4:6">
      <c r="D1026" s="11"/>
      <c r="E1026" s="11"/>
      <c r="F1026" s="11"/>
    </row>
    <row r="1027" spans="4:6">
      <c r="D1027" s="11"/>
      <c r="E1027" s="11"/>
      <c r="F1027" s="11"/>
    </row>
    <row r="1028" spans="4:6">
      <c r="D1028" s="11"/>
      <c r="E1028" s="11"/>
      <c r="F1028" s="11"/>
    </row>
    <row r="1029" spans="4:6">
      <c r="D1029" s="11"/>
      <c r="E1029" s="11"/>
      <c r="F1029" s="11"/>
    </row>
    <row r="1030" spans="4:6">
      <c r="D1030" s="11"/>
      <c r="E1030" s="11"/>
      <c r="F1030" s="11"/>
    </row>
    <row r="1031" spans="4:6">
      <c r="D1031" s="11"/>
      <c r="E1031" s="11"/>
      <c r="F1031" s="11"/>
    </row>
    <row r="1032" spans="4:6">
      <c r="D1032" s="11"/>
      <c r="E1032" s="11"/>
      <c r="F1032" s="11"/>
    </row>
    <row r="1033" spans="4:6">
      <c r="D1033" s="11"/>
      <c r="E1033" s="11"/>
      <c r="F1033" s="11"/>
    </row>
    <row r="1034" spans="4:6">
      <c r="D1034" s="11"/>
      <c r="E1034" s="11"/>
      <c r="F1034" s="11"/>
    </row>
    <row r="1035" spans="4:6">
      <c r="D1035" s="11"/>
      <c r="E1035" s="11"/>
      <c r="F1035" s="11"/>
    </row>
    <row r="1036" spans="4:6">
      <c r="D1036" s="11"/>
      <c r="E1036" s="11"/>
      <c r="F1036" s="11"/>
    </row>
    <row r="1037" spans="4:6">
      <c r="D1037" s="11"/>
      <c r="E1037" s="11"/>
      <c r="F1037" s="11"/>
    </row>
    <row r="1038" spans="4:6">
      <c r="D1038" s="11"/>
      <c r="E1038" s="11"/>
      <c r="F1038" s="11"/>
    </row>
    <row r="1039" spans="4:6">
      <c r="D1039" s="11"/>
      <c r="E1039" s="11"/>
      <c r="F1039" s="11"/>
    </row>
    <row r="1040" spans="4:6">
      <c r="D1040" s="11"/>
      <c r="E1040" s="11"/>
      <c r="F1040" s="11"/>
    </row>
    <row r="1041" spans="4:6">
      <c r="D1041" s="11"/>
      <c r="E1041" s="11"/>
      <c r="F1041" s="11"/>
    </row>
    <row r="1042" spans="4:6">
      <c r="D1042" s="11"/>
      <c r="E1042" s="11"/>
      <c r="F1042" s="11"/>
    </row>
    <row r="1043" spans="4:6">
      <c r="D1043" s="11"/>
      <c r="E1043" s="11"/>
      <c r="F1043" s="11"/>
    </row>
    <row r="1044" spans="4:6">
      <c r="D1044" s="11"/>
      <c r="E1044" s="11"/>
      <c r="F1044" s="11"/>
    </row>
    <row r="1045" spans="4:6">
      <c r="D1045" s="11"/>
      <c r="E1045" s="11"/>
      <c r="F1045" s="11"/>
    </row>
    <row r="1046" spans="4:6">
      <c r="D1046" s="11"/>
      <c r="E1046" s="11"/>
      <c r="F1046" s="11"/>
    </row>
    <row r="1047" spans="4:6">
      <c r="D1047" s="11"/>
      <c r="E1047" s="11"/>
      <c r="F1047" s="11"/>
    </row>
    <row r="1048" spans="4:6">
      <c r="D1048" s="11"/>
      <c r="E1048" s="11"/>
      <c r="F1048" s="11"/>
    </row>
    <row r="1049" spans="4:6">
      <c r="D1049" s="11"/>
      <c r="E1049" s="11"/>
      <c r="F1049" s="11"/>
    </row>
    <row r="1050" spans="4:6">
      <c r="D1050" s="11"/>
      <c r="E1050" s="11"/>
      <c r="F1050" s="11"/>
    </row>
    <row r="1051" spans="4:6">
      <c r="D1051" s="11"/>
      <c r="E1051" s="11"/>
      <c r="F1051" s="11"/>
    </row>
    <row r="1052" spans="4:6">
      <c r="D1052" s="11"/>
      <c r="E1052" s="11"/>
      <c r="F1052" s="11"/>
    </row>
    <row r="1053" spans="4:6">
      <c r="D1053" s="11"/>
      <c r="E1053" s="11"/>
      <c r="F1053" s="11"/>
    </row>
    <row r="1054" spans="4:6">
      <c r="D1054" s="11"/>
      <c r="E1054" s="11"/>
      <c r="F1054" s="11"/>
    </row>
    <row r="1055" spans="4:6">
      <c r="D1055" s="11"/>
      <c r="E1055" s="11"/>
      <c r="F1055" s="11"/>
    </row>
    <row r="1056" spans="4:6">
      <c r="D1056" s="11"/>
      <c r="E1056" s="11"/>
      <c r="F1056" s="11"/>
    </row>
    <row r="1057" spans="4:6">
      <c r="D1057" s="11"/>
      <c r="E1057" s="11"/>
      <c r="F1057" s="11"/>
    </row>
    <row r="1058" spans="4:6">
      <c r="D1058" s="11"/>
      <c r="E1058" s="11"/>
      <c r="F1058" s="11"/>
    </row>
    <row r="1059" spans="4:6">
      <c r="D1059" s="11"/>
      <c r="E1059" s="11"/>
      <c r="F1059" s="11"/>
    </row>
    <row r="1060" spans="4:6">
      <c r="D1060" s="11"/>
      <c r="E1060" s="11"/>
      <c r="F1060" s="11"/>
    </row>
    <row r="1061" spans="4:6">
      <c r="D1061" s="11"/>
      <c r="E1061" s="11"/>
      <c r="F1061" s="11"/>
    </row>
    <row r="1062" spans="4:6">
      <c r="D1062" s="11"/>
      <c r="E1062" s="11"/>
      <c r="F1062" s="11"/>
    </row>
    <row r="1063" spans="4:6">
      <c r="D1063" s="11"/>
      <c r="E1063" s="11"/>
      <c r="F1063" s="11"/>
    </row>
    <row r="1064" spans="4:6">
      <c r="D1064" s="11"/>
      <c r="E1064" s="11"/>
      <c r="F1064" s="11"/>
    </row>
    <row r="1065" spans="4:6">
      <c r="D1065" s="11"/>
      <c r="E1065" s="11"/>
      <c r="F1065" s="11"/>
    </row>
    <row r="1066" spans="4:6">
      <c r="D1066" s="11"/>
      <c r="E1066" s="11"/>
      <c r="F1066" s="11"/>
    </row>
    <row r="1067" spans="4:6">
      <c r="D1067" s="11"/>
      <c r="E1067" s="11"/>
      <c r="F1067" s="11"/>
    </row>
    <row r="1068" spans="4:6">
      <c r="D1068" s="11"/>
      <c r="E1068" s="11"/>
      <c r="F1068" s="11"/>
    </row>
    <row r="1069" spans="4:6">
      <c r="D1069" s="11"/>
      <c r="E1069" s="11"/>
      <c r="F1069" s="11"/>
    </row>
    <row r="1070" spans="4:6">
      <c r="D1070" s="11"/>
      <c r="E1070" s="11"/>
      <c r="F1070" s="11"/>
    </row>
    <row r="1071" spans="4:6">
      <c r="D1071" s="11"/>
      <c r="E1071" s="11"/>
      <c r="F1071" s="11"/>
    </row>
    <row r="1072" spans="4:6">
      <c r="D1072" s="11"/>
      <c r="E1072" s="11"/>
      <c r="F1072" s="11"/>
    </row>
    <row r="1073" spans="4:6">
      <c r="D1073" s="11"/>
      <c r="E1073" s="11"/>
      <c r="F1073" s="11"/>
    </row>
    <row r="1074" spans="4:6">
      <c r="D1074" s="11"/>
      <c r="E1074" s="11"/>
      <c r="F1074" s="11"/>
    </row>
    <row r="1075" spans="4:6">
      <c r="D1075" s="11"/>
      <c r="E1075" s="11"/>
      <c r="F1075" s="11"/>
    </row>
    <row r="1076" spans="4:6">
      <c r="D1076" s="11"/>
      <c r="E1076" s="11"/>
      <c r="F1076" s="11"/>
    </row>
    <row r="1077" spans="4:6">
      <c r="D1077" s="11"/>
      <c r="E1077" s="11"/>
      <c r="F1077" s="11"/>
    </row>
    <row r="1078" spans="4:6">
      <c r="D1078" s="11"/>
      <c r="E1078" s="11"/>
      <c r="F1078" s="11"/>
    </row>
    <row r="1079" spans="4:6">
      <c r="D1079" s="11"/>
      <c r="E1079" s="11"/>
      <c r="F1079" s="11"/>
    </row>
    <row r="1080" spans="4:6">
      <c r="D1080" s="11"/>
      <c r="E1080" s="11"/>
      <c r="F1080" s="11"/>
    </row>
    <row r="1081" spans="4:6">
      <c r="D1081" s="11"/>
      <c r="E1081" s="11"/>
      <c r="F1081" s="11"/>
    </row>
    <row r="1082" spans="4:6">
      <c r="D1082" s="11"/>
      <c r="E1082" s="11"/>
      <c r="F1082" s="11"/>
    </row>
    <row r="1083" spans="4:6">
      <c r="D1083" s="11"/>
      <c r="E1083" s="11"/>
      <c r="F1083" s="11"/>
    </row>
    <row r="1084" spans="4:6">
      <c r="D1084" s="11"/>
      <c r="E1084" s="11"/>
      <c r="F1084" s="11"/>
    </row>
    <row r="1085" spans="4:6">
      <c r="D1085" s="11"/>
      <c r="E1085" s="11"/>
      <c r="F1085" s="11"/>
    </row>
    <row r="1086" spans="4:6">
      <c r="D1086" s="11"/>
      <c r="E1086" s="11"/>
      <c r="F1086" s="11"/>
    </row>
    <row r="1087" spans="4:6">
      <c r="D1087" s="11"/>
      <c r="E1087" s="11"/>
      <c r="F1087" s="11"/>
    </row>
    <row r="1088" spans="4:6">
      <c r="D1088" s="11"/>
      <c r="E1088" s="11"/>
      <c r="F1088" s="11"/>
    </row>
    <row r="1089" spans="4:6">
      <c r="D1089" s="11"/>
      <c r="E1089" s="11"/>
      <c r="F1089" s="11"/>
    </row>
    <row r="1090" spans="4:6">
      <c r="D1090" s="11"/>
      <c r="E1090" s="11"/>
      <c r="F1090" s="11"/>
    </row>
    <row r="1091" spans="4:6">
      <c r="D1091" s="11"/>
      <c r="E1091" s="11"/>
      <c r="F1091" s="11"/>
    </row>
    <row r="1092" spans="4:6">
      <c r="D1092" s="11"/>
      <c r="E1092" s="11"/>
      <c r="F1092" s="11"/>
    </row>
    <row r="1093" spans="4:6">
      <c r="D1093" s="11"/>
      <c r="E1093" s="11"/>
      <c r="F1093" s="11"/>
    </row>
    <row r="1094" spans="4:6">
      <c r="D1094" s="11"/>
      <c r="E1094" s="11"/>
      <c r="F1094" s="11"/>
    </row>
    <row r="1095" spans="4:6">
      <c r="D1095" s="11"/>
      <c r="E1095" s="11"/>
      <c r="F1095" s="11"/>
    </row>
    <row r="1096" spans="4:6">
      <c r="D1096" s="11"/>
      <c r="E1096" s="11"/>
      <c r="F1096" s="11"/>
    </row>
    <row r="1097" spans="4:6">
      <c r="D1097" s="11"/>
      <c r="E1097" s="11"/>
      <c r="F1097" s="11"/>
    </row>
    <row r="1098" spans="4:6">
      <c r="D1098" s="11"/>
      <c r="E1098" s="11"/>
      <c r="F1098" s="11"/>
    </row>
    <row r="1099" spans="4:6">
      <c r="D1099" s="11"/>
      <c r="E1099" s="11"/>
      <c r="F1099" s="11"/>
    </row>
    <row r="1100" spans="4:6">
      <c r="D1100" s="11"/>
      <c r="E1100" s="11"/>
      <c r="F1100" s="11"/>
    </row>
    <row r="1101" spans="4:6">
      <c r="D1101" s="11"/>
      <c r="E1101" s="11"/>
      <c r="F1101" s="11"/>
    </row>
    <row r="1102" spans="4:6">
      <c r="D1102" s="11"/>
      <c r="E1102" s="11"/>
      <c r="F1102" s="11"/>
    </row>
    <row r="1103" spans="4:6">
      <c r="D1103" s="11"/>
      <c r="E1103" s="11"/>
      <c r="F1103" s="11"/>
    </row>
    <row r="1104" spans="4:6">
      <c r="D1104" s="11"/>
      <c r="E1104" s="11"/>
      <c r="F1104" s="11"/>
    </row>
    <row r="1105" spans="4:6">
      <c r="D1105" s="11"/>
      <c r="E1105" s="11"/>
      <c r="F1105" s="11"/>
    </row>
    <row r="1106" spans="4:6">
      <c r="D1106" s="11"/>
      <c r="E1106" s="11"/>
      <c r="F1106" s="11"/>
    </row>
    <row r="1107" spans="4:6">
      <c r="D1107" s="11"/>
      <c r="E1107" s="11"/>
      <c r="F1107" s="11"/>
    </row>
    <row r="1108" spans="4:6">
      <c r="D1108" s="11"/>
      <c r="E1108" s="11"/>
      <c r="F1108" s="11"/>
    </row>
    <row r="1109" spans="4:6">
      <c r="D1109" s="11"/>
      <c r="E1109" s="11"/>
      <c r="F1109" s="11"/>
    </row>
    <row r="1110" spans="4:6">
      <c r="D1110" s="11"/>
      <c r="E1110" s="11"/>
      <c r="F1110" s="11"/>
    </row>
    <row r="1111" spans="4:6">
      <c r="D1111" s="11"/>
      <c r="E1111" s="11"/>
      <c r="F1111" s="11"/>
    </row>
    <row r="1112" spans="4:6">
      <c r="D1112" s="11"/>
      <c r="E1112" s="11"/>
      <c r="F1112" s="11"/>
    </row>
    <row r="1113" spans="4:6">
      <c r="D1113" s="11"/>
      <c r="E1113" s="11"/>
      <c r="F1113" s="11"/>
    </row>
    <row r="1114" spans="4:6">
      <c r="D1114" s="11"/>
      <c r="E1114" s="11"/>
      <c r="F1114" s="11"/>
    </row>
    <row r="1115" spans="4:6">
      <c r="D1115" s="11"/>
      <c r="E1115" s="11"/>
      <c r="F1115" s="11"/>
    </row>
    <row r="1116" spans="4:6">
      <c r="D1116" s="11"/>
      <c r="E1116" s="11"/>
      <c r="F1116" s="11"/>
    </row>
    <row r="1117" spans="4:6">
      <c r="D1117" s="11"/>
      <c r="E1117" s="11"/>
      <c r="F1117" s="11"/>
    </row>
    <row r="1118" spans="4:6">
      <c r="D1118" s="11"/>
      <c r="E1118" s="11"/>
      <c r="F1118" s="11"/>
    </row>
    <row r="1119" spans="4:6">
      <c r="D1119" s="11"/>
      <c r="E1119" s="11"/>
      <c r="F1119" s="11"/>
    </row>
    <row r="1120" spans="4:6">
      <c r="D1120" s="11"/>
      <c r="E1120" s="11"/>
      <c r="F1120" s="11"/>
    </row>
    <row r="1121" spans="4:6">
      <c r="D1121" s="11"/>
      <c r="E1121" s="11"/>
      <c r="F1121" s="11"/>
    </row>
    <row r="1122" spans="4:6">
      <c r="D1122" s="11"/>
      <c r="E1122" s="11"/>
      <c r="F1122" s="11"/>
    </row>
    <row r="1123" spans="4:6">
      <c r="D1123" s="11"/>
      <c r="E1123" s="11"/>
      <c r="F1123" s="11"/>
    </row>
    <row r="1124" spans="4:6">
      <c r="D1124" s="11"/>
      <c r="E1124" s="11"/>
      <c r="F1124" s="11"/>
    </row>
    <row r="1125" spans="4:6">
      <c r="D1125" s="11"/>
      <c r="E1125" s="11"/>
      <c r="F1125" s="11"/>
    </row>
    <row r="1126" spans="4:6">
      <c r="D1126" s="11"/>
      <c r="E1126" s="11"/>
      <c r="F1126" s="11"/>
    </row>
    <row r="1127" spans="4:6">
      <c r="D1127" s="11"/>
      <c r="E1127" s="11"/>
      <c r="F1127" s="11"/>
    </row>
    <row r="1128" spans="4:6">
      <c r="D1128" s="11"/>
      <c r="E1128" s="11"/>
      <c r="F1128" s="11"/>
    </row>
    <row r="1129" spans="4:6">
      <c r="D1129" s="11"/>
      <c r="E1129" s="11"/>
      <c r="F1129" s="11"/>
    </row>
    <row r="1130" spans="4:6">
      <c r="D1130" s="11"/>
      <c r="E1130" s="11"/>
      <c r="F1130" s="11"/>
    </row>
    <row r="1131" spans="4:6">
      <c r="D1131" s="11"/>
      <c r="E1131" s="11"/>
      <c r="F1131" s="11"/>
    </row>
    <row r="1132" spans="4:6">
      <c r="D1132" s="11"/>
      <c r="E1132" s="11"/>
      <c r="F1132" s="11"/>
    </row>
    <row r="1133" spans="4:6">
      <c r="D1133" s="11"/>
      <c r="E1133" s="11"/>
      <c r="F1133" s="11"/>
    </row>
    <row r="1134" spans="4:6">
      <c r="D1134" s="11"/>
      <c r="E1134" s="11"/>
      <c r="F1134" s="11"/>
    </row>
    <row r="1135" spans="4:6">
      <c r="D1135" s="11"/>
      <c r="E1135" s="11"/>
      <c r="F1135" s="11"/>
    </row>
    <row r="1136" spans="4:6">
      <c r="D1136" s="11"/>
      <c r="E1136" s="11"/>
      <c r="F1136" s="11"/>
    </row>
    <row r="1137" spans="4:6">
      <c r="D1137" s="11"/>
      <c r="E1137" s="11"/>
      <c r="F1137" s="11"/>
    </row>
    <row r="1138" spans="4:6">
      <c r="D1138" s="11"/>
      <c r="E1138" s="11"/>
      <c r="F1138" s="11"/>
    </row>
    <row r="1139" spans="4:6">
      <c r="D1139" s="11"/>
      <c r="E1139" s="11"/>
      <c r="F1139" s="11"/>
    </row>
    <row r="1140" spans="4:6">
      <c r="D1140" s="11"/>
      <c r="E1140" s="11"/>
      <c r="F1140" s="11"/>
    </row>
    <row r="1141" spans="4:6">
      <c r="D1141" s="11"/>
      <c r="E1141" s="11"/>
      <c r="F1141" s="11"/>
    </row>
    <row r="1142" spans="4:6">
      <c r="D1142" s="11"/>
      <c r="E1142" s="11"/>
      <c r="F1142" s="11"/>
    </row>
    <row r="1143" spans="4:6">
      <c r="D1143" s="11"/>
      <c r="E1143" s="11"/>
      <c r="F1143" s="11"/>
    </row>
    <row r="1144" spans="4:6">
      <c r="D1144" s="11"/>
      <c r="E1144" s="11"/>
      <c r="F1144" s="11"/>
    </row>
    <row r="1145" spans="4:6">
      <c r="D1145" s="11"/>
      <c r="E1145" s="11"/>
      <c r="F1145" s="11"/>
    </row>
    <row r="1146" spans="4:6">
      <c r="D1146" s="11"/>
      <c r="E1146" s="11"/>
      <c r="F1146" s="11"/>
    </row>
    <row r="1147" spans="4:6">
      <c r="D1147" s="11"/>
      <c r="E1147" s="11"/>
      <c r="F1147" s="11"/>
    </row>
    <row r="1148" spans="4:6">
      <c r="D1148" s="11"/>
      <c r="E1148" s="11"/>
      <c r="F1148" s="11"/>
    </row>
    <row r="1149" spans="4:6">
      <c r="D1149" s="11"/>
      <c r="E1149" s="11"/>
      <c r="F1149" s="11"/>
    </row>
    <row r="1150" spans="4:6">
      <c r="D1150" s="11"/>
      <c r="E1150" s="11"/>
      <c r="F1150" s="11"/>
    </row>
    <row r="1151" spans="4:6">
      <c r="D1151" s="11"/>
      <c r="E1151" s="11"/>
      <c r="F1151" s="11"/>
    </row>
    <row r="1152" spans="4:6">
      <c r="D1152" s="11"/>
      <c r="E1152" s="11"/>
      <c r="F1152" s="11"/>
    </row>
    <row r="1153" spans="4:6">
      <c r="D1153" s="11"/>
      <c r="E1153" s="11"/>
      <c r="F1153" s="11"/>
    </row>
    <row r="1154" spans="4:6">
      <c r="D1154" s="11"/>
      <c r="E1154" s="11"/>
      <c r="F1154" s="11"/>
    </row>
    <row r="1155" spans="4:6">
      <c r="D1155" s="11"/>
      <c r="E1155" s="11"/>
      <c r="F1155" s="11"/>
    </row>
    <row r="1156" spans="4:6">
      <c r="D1156" s="11"/>
      <c r="E1156" s="11"/>
      <c r="F1156" s="11"/>
    </row>
    <row r="1157" spans="4:6">
      <c r="D1157" s="11"/>
      <c r="E1157" s="11"/>
      <c r="F1157" s="11"/>
    </row>
    <row r="1158" spans="4:6">
      <c r="D1158" s="11"/>
      <c r="E1158" s="11"/>
      <c r="F1158" s="11"/>
    </row>
    <row r="1159" spans="4:6">
      <c r="D1159" s="11"/>
      <c r="E1159" s="11"/>
      <c r="F1159" s="11"/>
    </row>
    <row r="1160" spans="4:6">
      <c r="D1160" s="11"/>
      <c r="E1160" s="11"/>
      <c r="F1160" s="11"/>
    </row>
    <row r="1161" spans="4:6">
      <c r="D1161" s="11"/>
      <c r="E1161" s="11"/>
      <c r="F1161" s="11"/>
    </row>
    <row r="1162" spans="4:6">
      <c r="D1162" s="11"/>
      <c r="E1162" s="11"/>
      <c r="F1162" s="11"/>
    </row>
    <row r="1163" spans="4:6">
      <c r="D1163" s="11"/>
      <c r="E1163" s="11"/>
      <c r="F1163" s="11"/>
    </row>
    <row r="1164" spans="4:6">
      <c r="D1164" s="11"/>
      <c r="E1164" s="11"/>
      <c r="F1164" s="11"/>
    </row>
    <row r="1165" spans="4:6">
      <c r="D1165" s="11"/>
      <c r="E1165" s="11"/>
      <c r="F1165" s="11"/>
    </row>
    <row r="1166" spans="4:6">
      <c r="D1166" s="11"/>
      <c r="E1166" s="11"/>
      <c r="F1166" s="11"/>
    </row>
    <row r="1167" spans="4:6">
      <c r="D1167" s="11"/>
      <c r="E1167" s="11"/>
      <c r="F1167" s="11"/>
    </row>
    <row r="1168" spans="4:6">
      <c r="D1168" s="11"/>
      <c r="E1168" s="11"/>
      <c r="F1168" s="11"/>
    </row>
    <row r="1169" spans="4:6">
      <c r="D1169" s="11"/>
      <c r="E1169" s="11"/>
      <c r="F1169" s="11"/>
    </row>
    <row r="1170" spans="4:6">
      <c r="D1170" s="11"/>
      <c r="E1170" s="11"/>
      <c r="F1170" s="11"/>
    </row>
    <row r="1171" spans="4:6">
      <c r="D1171" s="11"/>
      <c r="E1171" s="11"/>
      <c r="F1171" s="11"/>
    </row>
    <row r="1172" spans="4:6">
      <c r="D1172" s="11"/>
      <c r="E1172" s="11"/>
      <c r="F1172" s="11"/>
    </row>
    <row r="1173" spans="4:6">
      <c r="D1173" s="11"/>
      <c r="E1173" s="11"/>
      <c r="F1173" s="11"/>
    </row>
    <row r="1174" spans="4:6">
      <c r="D1174" s="11"/>
      <c r="E1174" s="11"/>
      <c r="F1174" s="11"/>
    </row>
    <row r="1175" spans="4:6">
      <c r="D1175" s="11"/>
      <c r="E1175" s="11"/>
      <c r="F1175" s="11"/>
    </row>
    <row r="1176" spans="4:6">
      <c r="D1176" s="11"/>
      <c r="E1176" s="11"/>
      <c r="F1176" s="11"/>
    </row>
    <row r="1177" spans="4:6">
      <c r="D1177" s="11"/>
      <c r="E1177" s="11"/>
      <c r="F1177" s="11"/>
    </row>
    <row r="1178" spans="4:6">
      <c r="D1178" s="11"/>
      <c r="E1178" s="11"/>
      <c r="F1178" s="11"/>
    </row>
    <row r="1179" spans="4:6">
      <c r="D1179" s="11"/>
      <c r="E1179" s="11"/>
      <c r="F1179" s="11"/>
    </row>
    <row r="1180" spans="4:6">
      <c r="D1180" s="11"/>
      <c r="E1180" s="11"/>
      <c r="F1180" s="11"/>
    </row>
    <row r="1181" spans="4:6">
      <c r="D1181" s="11"/>
      <c r="E1181" s="11"/>
      <c r="F1181" s="11"/>
    </row>
    <row r="1182" spans="4:6">
      <c r="D1182" s="11"/>
      <c r="E1182" s="11"/>
      <c r="F1182" s="11"/>
    </row>
    <row r="1183" spans="4:6">
      <c r="D1183" s="11"/>
      <c r="E1183" s="11"/>
      <c r="F1183" s="11"/>
    </row>
    <row r="1184" spans="4:6">
      <c r="D1184" s="11"/>
      <c r="E1184" s="11"/>
      <c r="F1184" s="11"/>
    </row>
    <row r="1185" spans="4:6">
      <c r="D1185" s="11"/>
      <c r="E1185" s="11"/>
      <c r="F1185" s="11"/>
    </row>
    <row r="1186" spans="4:6">
      <c r="D1186" s="11"/>
      <c r="E1186" s="11"/>
      <c r="F1186" s="11"/>
    </row>
    <row r="1187" spans="4:6">
      <c r="D1187" s="11"/>
      <c r="E1187" s="11"/>
      <c r="F1187" s="11"/>
    </row>
    <row r="1188" spans="4:6">
      <c r="D1188" s="11"/>
      <c r="E1188" s="11"/>
      <c r="F1188" s="11"/>
    </row>
    <row r="1189" spans="4:6">
      <c r="D1189" s="11"/>
      <c r="E1189" s="11"/>
      <c r="F1189" s="11"/>
    </row>
    <row r="1190" spans="4:6">
      <c r="D1190" s="11"/>
      <c r="E1190" s="11"/>
      <c r="F1190" s="11"/>
    </row>
    <row r="1191" spans="4:6">
      <c r="D1191" s="11"/>
      <c r="E1191" s="11"/>
      <c r="F1191" s="11"/>
    </row>
    <row r="1192" spans="4:6">
      <c r="D1192" s="11"/>
      <c r="E1192" s="11"/>
      <c r="F1192" s="11"/>
    </row>
    <row r="1193" spans="4:6">
      <c r="D1193" s="11"/>
      <c r="E1193" s="11"/>
      <c r="F1193" s="11"/>
    </row>
    <row r="1194" spans="4:6">
      <c r="D1194" s="11"/>
      <c r="E1194" s="11"/>
      <c r="F1194" s="11"/>
    </row>
    <row r="1195" spans="4:6">
      <c r="D1195" s="11"/>
      <c r="E1195" s="11"/>
      <c r="F1195" s="11"/>
    </row>
    <row r="1196" spans="4:6">
      <c r="D1196" s="11"/>
      <c r="E1196" s="11"/>
      <c r="F1196" s="11"/>
    </row>
    <row r="1197" spans="4:6">
      <c r="D1197" s="11"/>
      <c r="E1197" s="11"/>
      <c r="F1197" s="11"/>
    </row>
    <row r="1198" spans="4:6">
      <c r="D1198" s="11"/>
      <c r="E1198" s="11"/>
      <c r="F1198" s="11"/>
    </row>
    <row r="1199" spans="4:6">
      <c r="D1199" s="11"/>
      <c r="E1199" s="11"/>
      <c r="F1199" s="11"/>
    </row>
    <row r="1200" spans="4:6">
      <c r="D1200" s="11"/>
      <c r="E1200" s="11"/>
      <c r="F1200" s="11"/>
    </row>
    <row r="1201" spans="4:6">
      <c r="D1201" s="11"/>
      <c r="E1201" s="11"/>
      <c r="F1201" s="11"/>
    </row>
    <row r="1202" spans="4:6">
      <c r="D1202" s="11"/>
      <c r="E1202" s="11"/>
      <c r="F1202" s="11"/>
    </row>
    <row r="1203" spans="4:6">
      <c r="D1203" s="11"/>
      <c r="E1203" s="11"/>
      <c r="F1203" s="11"/>
    </row>
    <row r="1204" spans="4:6">
      <c r="D1204" s="11"/>
      <c r="E1204" s="11"/>
      <c r="F1204" s="11"/>
    </row>
    <row r="1205" spans="4:6">
      <c r="D1205" s="11"/>
      <c r="E1205" s="11"/>
      <c r="F1205" s="11"/>
    </row>
    <row r="1206" spans="4:6">
      <c r="D1206" s="11"/>
      <c r="E1206" s="11"/>
      <c r="F1206" s="11"/>
    </row>
    <row r="1207" spans="4:6">
      <c r="D1207" s="11"/>
      <c r="E1207" s="11"/>
      <c r="F1207" s="11"/>
    </row>
    <row r="1208" spans="4:6">
      <c r="D1208" s="11"/>
      <c r="E1208" s="11"/>
      <c r="F1208" s="11"/>
    </row>
    <row r="1209" spans="4:6">
      <c r="D1209" s="11"/>
      <c r="E1209" s="11"/>
      <c r="F1209" s="11"/>
    </row>
    <row r="1210" spans="4:6">
      <c r="D1210" s="11"/>
      <c r="E1210" s="11"/>
      <c r="F1210" s="11"/>
    </row>
    <row r="1211" spans="4:6">
      <c r="D1211" s="11"/>
      <c r="E1211" s="11"/>
      <c r="F1211" s="11"/>
    </row>
    <row r="1212" spans="4:6">
      <c r="D1212" s="11"/>
      <c r="E1212" s="11"/>
      <c r="F1212" s="11"/>
    </row>
    <row r="1213" spans="4:6">
      <c r="D1213" s="11"/>
      <c r="E1213" s="11"/>
      <c r="F1213" s="11"/>
    </row>
    <row r="1214" spans="4:6">
      <c r="D1214" s="11"/>
      <c r="E1214" s="11"/>
      <c r="F1214" s="11"/>
    </row>
    <row r="1215" spans="4:6">
      <c r="D1215" s="11"/>
      <c r="E1215" s="11"/>
      <c r="F1215" s="11"/>
    </row>
    <row r="1216" spans="4:6">
      <c r="D1216" s="11"/>
      <c r="E1216" s="11"/>
      <c r="F1216" s="11"/>
    </row>
    <row r="1217" spans="4:6">
      <c r="D1217" s="11"/>
      <c r="E1217" s="11"/>
      <c r="F1217" s="11"/>
    </row>
    <row r="1218" spans="4:6">
      <c r="D1218" s="11"/>
      <c r="E1218" s="11"/>
      <c r="F1218" s="11"/>
    </row>
    <row r="1219" spans="4:6">
      <c r="D1219" s="11"/>
      <c r="E1219" s="11"/>
      <c r="F1219" s="11"/>
    </row>
    <row r="1220" spans="4:6">
      <c r="D1220" s="11"/>
      <c r="E1220" s="11"/>
      <c r="F1220" s="11"/>
    </row>
    <row r="1221" spans="4:6">
      <c r="D1221" s="11"/>
      <c r="E1221" s="11"/>
      <c r="F1221" s="11"/>
    </row>
    <row r="1222" spans="4:6">
      <c r="D1222" s="11"/>
      <c r="E1222" s="11"/>
      <c r="F1222" s="11"/>
    </row>
    <row r="1223" spans="4:6">
      <c r="D1223" s="11"/>
      <c r="E1223" s="11"/>
      <c r="F1223" s="11"/>
    </row>
    <row r="1224" spans="4:6">
      <c r="D1224" s="11"/>
      <c r="E1224" s="11"/>
      <c r="F1224" s="11"/>
    </row>
    <row r="1225" spans="4:6">
      <c r="D1225" s="11"/>
      <c r="E1225" s="11"/>
      <c r="F1225" s="11"/>
    </row>
    <row r="1226" spans="4:6">
      <c r="D1226" s="11"/>
      <c r="E1226" s="11"/>
      <c r="F1226" s="11"/>
    </row>
    <row r="1227" spans="4:6">
      <c r="D1227" s="11"/>
      <c r="E1227" s="11"/>
      <c r="F1227" s="11"/>
    </row>
    <row r="1228" spans="4:6">
      <c r="D1228" s="11"/>
      <c r="E1228" s="11"/>
      <c r="F1228" s="11"/>
    </row>
  </sheetData>
  <mergeCells count="5">
    <mergeCell ref="D1:R1"/>
    <mergeCell ref="D2:G2"/>
    <mergeCell ref="H229:I229"/>
    <mergeCell ref="J229:K229"/>
    <mergeCell ref="G76:M92"/>
  </mergeCells>
  <hyperlinks>
    <hyperlink ref="K285" r:id="rId1" display="tt" xr:uid="{30C84E8F-5CCD-4E14-B179-5427169D930D}"/>
  </hyperlinks>
  <pageMargins left="0.7" right="0.7" top="0.75" bottom="0.75" header="0.3" footer="0.3"/>
  <drawing r:id="rId2"/>
  <legacyDrawing r:id="rId3"/>
  <extLst>
    <ext xmlns:x14="http://schemas.microsoft.com/office/spreadsheetml/2009/9/main" uri="{CCE6A557-97BC-4b89-ADB6-D9C93CAAB3DF}">
      <x14:dataValidations xmlns:xm="http://schemas.microsoft.com/office/excel/2006/main" count="9">
        <x14:dataValidation type="list" allowBlank="1" showInputMessage="1" showErrorMessage="1" xr:uid="{D854C2BA-2B8E-49D3-9742-FB24F2D304F2}">
          <x14:formula1>
            <xm:f>Scenarios!$D$2:$D$4</xm:f>
          </x14:formula1>
          <xm:sqref>G248</xm:sqref>
        </x14:dataValidation>
        <x14:dataValidation type="list" allowBlank="1" showInputMessage="1" showErrorMessage="1" xr:uid="{D0709606-70F1-418B-9FE2-196C0C90E149}">
          <x14:formula1>
            <xm:f>Scenarios!$B$2:$B$5</xm:f>
          </x14:formula1>
          <xm:sqref>G246</xm:sqref>
        </x14:dataValidation>
        <x14:dataValidation type="list" allowBlank="1" showInputMessage="1" showErrorMessage="1" xr:uid="{5C9A16AF-10AB-458D-B7F3-825E19620107}">
          <x14:formula1>
            <xm:f>Scenarios!$A$2:$A$3</xm:f>
          </x14:formula1>
          <xm:sqref>G245</xm:sqref>
        </x14:dataValidation>
        <x14:dataValidation type="list" allowBlank="1" showInputMessage="1" showErrorMessage="1" xr:uid="{ACB39DC5-6125-40B7-891A-2368405E8F16}">
          <x14:formula1>
            <xm:f>Scenarios!$I$2:$I$3</xm:f>
          </x14:formula1>
          <xm:sqref>G253</xm:sqref>
        </x14:dataValidation>
        <x14:dataValidation type="list" allowBlank="1" showInputMessage="1" showErrorMessage="1" xr:uid="{04C51A0B-7954-4C98-93BE-F1BE60323DB0}">
          <x14:formula1>
            <xm:f>Scenarios!$E$2:$E$4</xm:f>
          </x14:formula1>
          <xm:sqref>J245:J247</xm:sqref>
        </x14:dataValidation>
        <x14:dataValidation type="list" allowBlank="1" showInputMessage="1" showErrorMessage="1" xr:uid="{77ED606B-BCBD-49A2-BB80-3D5B3C820C28}">
          <x14:formula1>
            <xm:f>Scenarios!$H$2:$H$3</xm:f>
          </x14:formula1>
          <xm:sqref>G249:G252</xm:sqref>
        </x14:dataValidation>
        <x14:dataValidation type="list" allowBlank="1" showInputMessage="1" showErrorMessage="1" xr:uid="{C4B1AEDA-69DE-4592-8018-184575AB9283}">
          <x14:formula1>
            <xm:f>Scenarios!$C$2:$C$3</xm:f>
          </x14:formula1>
          <xm:sqref>G247</xm:sqref>
        </x14:dataValidation>
        <x14:dataValidation type="list" allowBlank="1" showInputMessage="1" showErrorMessage="1" xr:uid="{1D092A30-9FAD-4F6E-B261-CC2921F8D865}">
          <x14:formula1>
            <xm:f>Scenarios!$K$2:$K$3</xm:f>
          </x14:formula1>
          <xm:sqref>G255</xm:sqref>
        </x14:dataValidation>
        <x14:dataValidation type="list" allowBlank="1" showInputMessage="1" showErrorMessage="1" xr:uid="{5C78AA8B-C1BD-4E6B-A947-B87A6D6BE5B2}">
          <x14:formula1>
            <xm:f>Scenarios!$J$2:$J$3</xm:f>
          </x14:formula1>
          <xm:sqref>G254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23052-4A92-45F4-BFE2-1DD1330C07CC}">
  <sheetPr codeName="Sheet2"/>
  <dimension ref="A1:L4049"/>
  <sheetViews>
    <sheetView topLeftCell="A109" workbookViewId="0">
      <selection activeCell="D120" sqref="D120:D136"/>
    </sheetView>
  </sheetViews>
  <sheetFormatPr defaultRowHeight="14.5"/>
  <cols>
    <col min="1" max="1" width="15.7265625" customWidth="1"/>
    <col min="2" max="3" width="14.1796875" customWidth="1"/>
    <col min="4" max="4" width="12" customWidth="1"/>
    <col min="5" max="11" width="14.1796875" customWidth="1"/>
    <col min="12" max="12" width="15.6328125" customWidth="1"/>
    <col min="13" max="13" width="18.81640625" customWidth="1"/>
    <col min="14" max="14" width="15.453125" customWidth="1"/>
    <col min="15" max="15" width="16.36328125" customWidth="1"/>
    <col min="16" max="16" width="18" customWidth="1"/>
  </cols>
  <sheetData>
    <row r="1" spans="1:9" ht="20" thickBot="1">
      <c r="A1" s="39" t="s">
        <v>100</v>
      </c>
    </row>
    <row r="2" spans="1:9" ht="15" thickTop="1"/>
    <row r="3" spans="1:9">
      <c r="H3" s="19"/>
      <c r="I3" s="19"/>
    </row>
    <row r="4" spans="1:9">
      <c r="B4" t="s">
        <v>99</v>
      </c>
      <c r="C4" t="s">
        <v>112</v>
      </c>
    </row>
    <row r="5" spans="1:9">
      <c r="A5" t="s">
        <v>101</v>
      </c>
      <c r="C5" s="122">
        <f>B24</f>
        <v>311234</v>
      </c>
      <c r="E5" s="46">
        <f>C5</f>
        <v>311234</v>
      </c>
    </row>
    <row r="6" spans="1:9">
      <c r="A6" t="s">
        <v>18</v>
      </c>
      <c r="C6" s="41">
        <f>SUMIFS($F$29:$F$40,$A$29:$A$40,Guide!G245,$B$29:$B$40,Guide!G247,$C$29:$C$40,Guide!G248)</f>
        <v>169</v>
      </c>
      <c r="E6" s="46">
        <f t="shared" ref="E6:E12" si="0">C6</f>
        <v>169</v>
      </c>
    </row>
    <row r="7" spans="1:9">
      <c r="A7" s="22" t="s">
        <v>19</v>
      </c>
      <c r="B7">
        <v>1</v>
      </c>
      <c r="C7" s="125">
        <f ca="1">Calculations!B19</f>
        <v>116.34926603661927</v>
      </c>
      <c r="E7" s="46">
        <f t="shared" ca="1" si="0"/>
        <v>116.34926603661927</v>
      </c>
    </row>
    <row r="8" spans="1:9">
      <c r="A8" s="22" t="s">
        <v>20</v>
      </c>
      <c r="B8">
        <v>2</v>
      </c>
      <c r="C8" s="123">
        <f>SUMIFS($E$70:$E$117,Database!$A$70:$A$117,Guide!$G$245,$B$70:$B$117,Guide!$G$246,$C$70:$C$117,Guide!$G$247,$D$70:$D$117,Guide!$G$248)</f>
        <v>2</v>
      </c>
      <c r="D8" s="65"/>
      <c r="E8" s="46">
        <f t="shared" si="0"/>
        <v>2</v>
      </c>
    </row>
    <row r="9" spans="1:9">
      <c r="A9" s="22" t="s">
        <v>21</v>
      </c>
      <c r="B9">
        <v>3</v>
      </c>
      <c r="C9" s="123">
        <f>SUMIFS($D$121:$D$136,$A$121:$A$136,Guide!$G$245,$B$121:$B$136,Guide!$G$246,$C$121:$C$136,Guide!$G$247)</f>
        <v>-188.63157894736841</v>
      </c>
      <c r="E9" s="46">
        <f t="shared" si="0"/>
        <v>-188.63157894736841</v>
      </c>
    </row>
    <row r="10" spans="1:9">
      <c r="A10" s="22" t="s">
        <v>22</v>
      </c>
      <c r="B10">
        <v>4</v>
      </c>
      <c r="C10" s="124">
        <f>Calculations!B54</f>
        <v>212.53226892482306</v>
      </c>
      <c r="E10" s="46">
        <f t="shared" si="0"/>
        <v>212.53226892482306</v>
      </c>
    </row>
    <row r="11" spans="1:9">
      <c r="A11" s="22" t="s">
        <v>23</v>
      </c>
      <c r="B11">
        <v>5</v>
      </c>
      <c r="C11" s="123">
        <f ca="1">Calculations!B124</f>
        <v>-415.23851514576296</v>
      </c>
      <c r="E11" s="46">
        <f t="shared" ca="1" si="0"/>
        <v>-415.23851514576296</v>
      </c>
    </row>
    <row r="12" spans="1:9">
      <c r="A12" s="22" t="s">
        <v>24</v>
      </c>
      <c r="B12">
        <v>6</v>
      </c>
      <c r="C12" s="42">
        <f>Calculations!$B$154</f>
        <v>192.88584987905506</v>
      </c>
      <c r="E12" s="46">
        <f t="shared" si="0"/>
        <v>192.88584987905506</v>
      </c>
    </row>
    <row r="13" spans="1:9">
      <c r="A13" s="26" t="s">
        <v>27</v>
      </c>
      <c r="C13" t="s">
        <v>110</v>
      </c>
      <c r="D13" t="s">
        <v>110</v>
      </c>
      <c r="E13" s="48">
        <f>SUMIFS($D$50:$D$51,$A$50:$A$51,Guide!$G$245)</f>
        <v>8.9025412488726197</v>
      </c>
    </row>
    <row r="14" spans="1:9">
      <c r="A14" s="25" t="s">
        <v>107</v>
      </c>
      <c r="C14" t="s">
        <v>110</v>
      </c>
      <c r="D14" t="s">
        <v>110</v>
      </c>
      <c r="E14" s="41">
        <f>SUMIFS($C$59:$C$66,$A$59:$A$66,Guide!$G$245,$B$59:$B$66,Guide!$G$246)</f>
        <v>4.2705399638929924</v>
      </c>
    </row>
    <row r="15" spans="1:9">
      <c r="A15" s="25" t="s">
        <v>109</v>
      </c>
      <c r="C15" s="44">
        <f>SUMIFS($C$44:$C$45,$A$44:$A$45,Guide!$G$245)</f>
        <v>-3444</v>
      </c>
      <c r="E15" s="47">
        <f ca="1">-C15*E18/Guide!$G$248</f>
        <v>3444</v>
      </c>
    </row>
    <row r="17" spans="1:12">
      <c r="D17" t="s">
        <v>114</v>
      </c>
      <c r="L17" s="66"/>
    </row>
    <row r="18" spans="1:12">
      <c r="A18" s="2" t="s">
        <v>113</v>
      </c>
      <c r="B18">
        <v>6</v>
      </c>
      <c r="C18" s="67">
        <f ca="1">SUMIFS(INDEX($M$143:$N$4031,0,MATCH(Guide!$G$245,Scenarios!$A$2:$A$3,0)),$B$143:$B$4031,Guide!$G$246,$C$143:$C$4031,Guide!$G$247,$D$143:$D$4031,Guide!$G$248,$E$143:$E$4031,Guide!$J$245,$F$143:$F$4031,Guide!$J$246,$G$143:$G$4031,Guide!$J$247,$H$143:$H$4031,B18)</f>
        <v>0</v>
      </c>
      <c r="D18">
        <f ca="1">VLOOKUP(Guide!G245,$A$24:$C$25,3)-C18</f>
        <v>16.137</v>
      </c>
      <c r="E18" s="45">
        <f ca="1">D18/VLOOKUP(Guide!G245,$A$24:$C$25,3)</f>
        <v>1</v>
      </c>
      <c r="L18" s="66"/>
    </row>
    <row r="19" spans="1:12">
      <c r="L19" s="66"/>
    </row>
    <row r="20" spans="1:12">
      <c r="L20" s="66"/>
    </row>
    <row r="22" spans="1:12" ht="20" thickBot="1">
      <c r="A22" s="39" t="s">
        <v>90</v>
      </c>
    </row>
    <row r="23" spans="1:12" ht="15" thickTop="1">
      <c r="A23" s="19" t="s">
        <v>7</v>
      </c>
      <c r="B23" s="19" t="s">
        <v>93</v>
      </c>
      <c r="C23" s="23" t="s">
        <v>111</v>
      </c>
    </row>
    <row r="24" spans="1:12">
      <c r="A24" t="s">
        <v>8</v>
      </c>
      <c r="B24">
        <v>311234</v>
      </c>
      <c r="C24">
        <v>16.137</v>
      </c>
    </row>
    <row r="25" spans="1:12">
      <c r="A25" t="s">
        <v>9</v>
      </c>
      <c r="B25">
        <v>299026</v>
      </c>
      <c r="C25">
        <v>12.331</v>
      </c>
    </row>
    <row r="26" spans="1:12">
      <c r="A26" s="23"/>
    </row>
    <row r="27" spans="1:12" ht="20" thickBot="1">
      <c r="A27" s="39" t="s">
        <v>91</v>
      </c>
    </row>
    <row r="28" spans="1:12" ht="15" thickTop="1">
      <c r="A28" s="19" t="s">
        <v>7</v>
      </c>
      <c r="B28" s="19" t="s">
        <v>72</v>
      </c>
      <c r="C28" s="19" t="s">
        <v>77</v>
      </c>
      <c r="D28" s="19" t="s">
        <v>93</v>
      </c>
      <c r="E28" s="19" t="s">
        <v>94</v>
      </c>
      <c r="F28" s="19" t="s">
        <v>95</v>
      </c>
    </row>
    <row r="29" spans="1:12">
      <c r="A29" t="s">
        <v>8</v>
      </c>
      <c r="B29" s="2" t="s">
        <v>73</v>
      </c>
      <c r="C29" s="2">
        <v>1</v>
      </c>
      <c r="D29">
        <v>311145</v>
      </c>
      <c r="E29">
        <v>89</v>
      </c>
      <c r="F29">
        <v>89</v>
      </c>
    </row>
    <row r="30" spans="1:12">
      <c r="A30" t="s">
        <v>8</v>
      </c>
      <c r="B30" s="2" t="s">
        <v>73</v>
      </c>
      <c r="C30" s="2">
        <v>10</v>
      </c>
      <c r="D30">
        <v>310336</v>
      </c>
      <c r="E30">
        <v>898</v>
      </c>
      <c r="F30">
        <v>89.8</v>
      </c>
    </row>
    <row r="31" spans="1:12">
      <c r="A31" t="s">
        <v>8</v>
      </c>
      <c r="B31" s="2" t="s">
        <v>73</v>
      </c>
      <c r="C31" s="2">
        <v>100</v>
      </c>
      <c r="D31">
        <v>301364</v>
      </c>
      <c r="E31">
        <v>9870</v>
      </c>
      <c r="F31">
        <v>98.7</v>
      </c>
    </row>
    <row r="32" spans="1:12">
      <c r="A32" t="s">
        <v>8</v>
      </c>
      <c r="B32" s="2" t="s">
        <v>74</v>
      </c>
      <c r="C32" s="2">
        <v>1</v>
      </c>
      <c r="D32">
        <v>311065</v>
      </c>
      <c r="E32">
        <v>169</v>
      </c>
      <c r="F32">
        <v>169</v>
      </c>
    </row>
    <row r="33" spans="1:6">
      <c r="A33" t="s">
        <v>8</v>
      </c>
      <c r="B33" s="2" t="s">
        <v>74</v>
      </c>
      <c r="C33" s="2">
        <v>10</v>
      </c>
      <c r="D33">
        <v>309537</v>
      </c>
      <c r="E33">
        <v>1697</v>
      </c>
      <c r="F33">
        <v>169.7</v>
      </c>
    </row>
    <row r="34" spans="1:6">
      <c r="A34" t="s">
        <v>8</v>
      </c>
      <c r="B34" s="2" t="s">
        <v>74</v>
      </c>
      <c r="C34" s="2">
        <v>100</v>
      </c>
      <c r="D34">
        <v>294094</v>
      </c>
      <c r="E34">
        <v>17140</v>
      </c>
      <c r="F34">
        <v>171.4</v>
      </c>
    </row>
    <row r="35" spans="1:6">
      <c r="A35" t="s">
        <v>9</v>
      </c>
      <c r="B35" s="2" t="s">
        <v>73</v>
      </c>
      <c r="C35" s="2">
        <v>1</v>
      </c>
      <c r="D35">
        <v>299003</v>
      </c>
      <c r="E35">
        <v>23</v>
      </c>
      <c r="F35">
        <v>23</v>
      </c>
    </row>
    <row r="36" spans="1:6">
      <c r="A36" t="s">
        <v>9</v>
      </c>
      <c r="B36" s="2" t="s">
        <v>73</v>
      </c>
      <c r="C36" s="2">
        <v>10</v>
      </c>
      <c r="D36">
        <v>298796</v>
      </c>
      <c r="E36">
        <v>230</v>
      </c>
      <c r="F36">
        <v>23</v>
      </c>
    </row>
    <row r="37" spans="1:6">
      <c r="A37" t="s">
        <v>9</v>
      </c>
      <c r="B37" s="2" t="s">
        <v>73</v>
      </c>
      <c r="C37" s="2">
        <v>100</v>
      </c>
      <c r="D37">
        <v>296722</v>
      </c>
      <c r="E37">
        <v>2304</v>
      </c>
      <c r="F37">
        <v>23.04</v>
      </c>
    </row>
    <row r="38" spans="1:6">
      <c r="A38" t="s">
        <v>9</v>
      </c>
      <c r="B38" s="2" t="s">
        <v>74</v>
      </c>
      <c r="C38" s="2">
        <v>1</v>
      </c>
      <c r="D38">
        <v>298867</v>
      </c>
      <c r="E38">
        <v>159</v>
      </c>
      <c r="F38">
        <v>159</v>
      </c>
    </row>
    <row r="39" spans="1:6">
      <c r="A39" t="s">
        <v>9</v>
      </c>
      <c r="B39" s="2" t="s">
        <v>74</v>
      </c>
      <c r="C39" s="2">
        <v>10</v>
      </c>
      <c r="D39">
        <v>297438</v>
      </c>
      <c r="E39">
        <v>1588</v>
      </c>
      <c r="F39">
        <v>158.80000000000001</v>
      </c>
    </row>
    <row r="40" spans="1:6">
      <c r="A40" t="s">
        <v>9</v>
      </c>
      <c r="B40" s="2" t="s">
        <v>74</v>
      </c>
      <c r="C40" s="2">
        <v>100</v>
      </c>
      <c r="D40">
        <v>282976</v>
      </c>
      <c r="E40">
        <v>16050</v>
      </c>
      <c r="F40">
        <v>160.5</v>
      </c>
    </row>
    <row r="41" spans="1:6">
      <c r="A41" s="19"/>
      <c r="B41" s="19"/>
      <c r="C41" s="19"/>
    </row>
    <row r="42" spans="1:6" ht="20" thickBot="1">
      <c r="A42" s="39" t="s">
        <v>92</v>
      </c>
    </row>
    <row r="43" spans="1:6" ht="15" thickTop="1">
      <c r="A43" s="19" t="s">
        <v>7</v>
      </c>
      <c r="B43" s="19" t="s">
        <v>93</v>
      </c>
      <c r="C43" s="23" t="s">
        <v>183</v>
      </c>
    </row>
    <row r="44" spans="1:6">
      <c r="A44" t="s">
        <v>8</v>
      </c>
      <c r="B44">
        <v>307790</v>
      </c>
      <c r="C44">
        <v>-3444</v>
      </c>
    </row>
    <row r="45" spans="1:6">
      <c r="A45" t="s">
        <v>9</v>
      </c>
      <c r="B45">
        <v>295088</v>
      </c>
      <c r="C45">
        <v>-3938</v>
      </c>
    </row>
    <row r="46" spans="1:6">
      <c r="A46" s="19"/>
    </row>
    <row r="47" spans="1:6">
      <c r="A47" s="23"/>
    </row>
    <row r="48" spans="1:6" ht="20" thickBot="1">
      <c r="A48" s="39" t="s">
        <v>60</v>
      </c>
    </row>
    <row r="49" spans="1:9" ht="29.5" thickTop="1">
      <c r="A49" s="19" t="s">
        <v>7</v>
      </c>
      <c r="B49" s="19" t="s">
        <v>93</v>
      </c>
      <c r="C49" s="19" t="s">
        <v>115</v>
      </c>
      <c r="D49" s="19" t="s">
        <v>112</v>
      </c>
    </row>
    <row r="50" spans="1:9">
      <c r="A50" t="s">
        <v>8</v>
      </c>
      <c r="B50">
        <v>353185</v>
      </c>
      <c r="C50">
        <v>41951</v>
      </c>
      <c r="D50">
        <v>8.9025412488726197</v>
      </c>
    </row>
    <row r="51" spans="1:9">
      <c r="A51" t="s">
        <v>9</v>
      </c>
      <c r="B51">
        <v>419402</v>
      </c>
      <c r="C51">
        <v>120376</v>
      </c>
      <c r="D51">
        <v>25.545333969971882</v>
      </c>
    </row>
    <row r="53" spans="1:9">
      <c r="A53" t="s">
        <v>116</v>
      </c>
      <c r="B53" s="20">
        <v>10</v>
      </c>
      <c r="C53">
        <v>31415</v>
      </c>
    </row>
    <row r="54" spans="1:9">
      <c r="A54" t="s">
        <v>117</v>
      </c>
      <c r="B54">
        <v>4712.25</v>
      </c>
    </row>
    <row r="57" spans="1:9" ht="20" thickBot="1">
      <c r="A57" s="39" t="s">
        <v>96</v>
      </c>
    </row>
    <row r="58" spans="1:9" ht="29.5" thickTop="1">
      <c r="A58" s="19" t="s">
        <v>7</v>
      </c>
      <c r="B58" s="19" t="s">
        <v>15</v>
      </c>
      <c r="C58" s="19" t="s">
        <v>97</v>
      </c>
      <c r="D58" s="19"/>
      <c r="E58" s="19"/>
      <c r="F58" s="19"/>
      <c r="G58" s="19"/>
      <c r="H58" s="19"/>
      <c r="I58" s="19"/>
    </row>
    <row r="59" spans="1:9">
      <c r="A59" t="s">
        <v>8</v>
      </c>
      <c r="B59" s="2" t="s">
        <v>68</v>
      </c>
      <c r="C59">
        <v>0</v>
      </c>
      <c r="I59" s="40"/>
    </row>
    <row r="60" spans="1:9">
      <c r="A60" t="s">
        <v>8</v>
      </c>
      <c r="B60" s="2" t="s">
        <v>69</v>
      </c>
      <c r="C60">
        <v>10.676349909732481</v>
      </c>
      <c r="I60" s="40"/>
    </row>
    <row r="61" spans="1:9">
      <c r="A61" t="s">
        <v>8</v>
      </c>
      <c r="B61" t="s">
        <v>70</v>
      </c>
      <c r="C61">
        <v>0</v>
      </c>
      <c r="I61" s="40"/>
    </row>
    <row r="62" spans="1:9">
      <c r="A62" t="s">
        <v>8</v>
      </c>
      <c r="B62" t="s">
        <v>71</v>
      </c>
      <c r="C62">
        <v>4.2705399638929924</v>
      </c>
      <c r="I62" s="40"/>
    </row>
    <row r="63" spans="1:9">
      <c r="A63" t="s">
        <v>9</v>
      </c>
      <c r="B63" s="2" t="s">
        <v>68</v>
      </c>
      <c r="C63">
        <v>0</v>
      </c>
      <c r="I63" s="40"/>
    </row>
    <row r="64" spans="1:9">
      <c r="A64" t="s">
        <v>9</v>
      </c>
      <c r="B64" s="2" t="s">
        <v>69</v>
      </c>
      <c r="C64">
        <v>27.242901690464468</v>
      </c>
      <c r="I64" s="40"/>
    </row>
    <row r="65" spans="1:9">
      <c r="A65" t="s">
        <v>9</v>
      </c>
      <c r="B65" t="s">
        <v>70</v>
      </c>
      <c r="C65">
        <v>0</v>
      </c>
      <c r="I65" s="40"/>
    </row>
    <row r="66" spans="1:9">
      <c r="A66" t="s">
        <v>9</v>
      </c>
      <c r="B66" t="s">
        <v>71</v>
      </c>
      <c r="C66">
        <v>10.897160676185788</v>
      </c>
      <c r="I66" s="40"/>
    </row>
    <row r="67" spans="1:9">
      <c r="C67" s="2"/>
      <c r="I67" s="40"/>
    </row>
    <row r="68" spans="1:9" ht="20" thickBot="1">
      <c r="A68" s="39" t="s">
        <v>5</v>
      </c>
    </row>
    <row r="69" spans="1:9" ht="29.5" thickTop="1">
      <c r="A69" s="19" t="s">
        <v>7</v>
      </c>
      <c r="B69" s="19" t="s">
        <v>15</v>
      </c>
      <c r="C69" s="19" t="s">
        <v>72</v>
      </c>
      <c r="D69" s="19" t="s">
        <v>77</v>
      </c>
      <c r="E69" s="19" t="s">
        <v>185</v>
      </c>
      <c r="F69" s="19"/>
      <c r="G69" s="19"/>
    </row>
    <row r="70" spans="1:9">
      <c r="A70" t="s">
        <v>8</v>
      </c>
      <c r="B70" s="2" t="s">
        <v>68</v>
      </c>
      <c r="C70" s="2" t="s">
        <v>73</v>
      </c>
      <c r="D70" s="2">
        <v>1</v>
      </c>
      <c r="E70">
        <v>1</v>
      </c>
    </row>
    <row r="71" spans="1:9">
      <c r="A71" t="s">
        <v>8</v>
      </c>
      <c r="B71" s="2" t="s">
        <v>68</v>
      </c>
      <c r="C71" s="2" t="s">
        <v>73</v>
      </c>
      <c r="D71" s="2">
        <v>10</v>
      </c>
      <c r="E71">
        <v>1.1000000000000001</v>
      </c>
    </row>
    <row r="72" spans="1:9">
      <c r="A72" t="s">
        <v>8</v>
      </c>
      <c r="B72" s="2" t="s">
        <v>68</v>
      </c>
      <c r="C72" s="2" t="s">
        <v>73</v>
      </c>
      <c r="D72" s="2">
        <v>100</v>
      </c>
      <c r="E72">
        <v>1.06</v>
      </c>
    </row>
    <row r="73" spans="1:9">
      <c r="A73" t="s">
        <v>8</v>
      </c>
      <c r="B73" s="2" t="s">
        <v>68</v>
      </c>
      <c r="C73" s="2" t="s">
        <v>74</v>
      </c>
      <c r="D73" s="2">
        <v>1</v>
      </c>
      <c r="E73">
        <v>1</v>
      </c>
    </row>
    <row r="74" spans="1:9">
      <c r="A74" t="s">
        <v>8</v>
      </c>
      <c r="B74" s="2" t="s">
        <v>68</v>
      </c>
      <c r="C74" s="2" t="s">
        <v>74</v>
      </c>
      <c r="D74" s="2">
        <v>10</v>
      </c>
      <c r="E74">
        <v>1.1000000000000001</v>
      </c>
    </row>
    <row r="75" spans="1:9">
      <c r="A75" t="s">
        <v>8</v>
      </c>
      <c r="B75" s="2" t="s">
        <v>68</v>
      </c>
      <c r="C75" s="2" t="s">
        <v>74</v>
      </c>
      <c r="D75" s="2">
        <v>100</v>
      </c>
      <c r="E75">
        <v>1.1000000000000001</v>
      </c>
    </row>
    <row r="76" spans="1:9">
      <c r="A76" t="s">
        <v>9</v>
      </c>
      <c r="B76" s="2" t="s">
        <v>68</v>
      </c>
      <c r="C76" s="2" t="s">
        <v>73</v>
      </c>
      <c r="D76" s="2">
        <v>1</v>
      </c>
      <c r="E76">
        <v>0</v>
      </c>
    </row>
    <row r="77" spans="1:9">
      <c r="A77" t="s">
        <v>9</v>
      </c>
      <c r="B77" s="2" t="s">
        <v>68</v>
      </c>
      <c r="C77" s="2" t="s">
        <v>73</v>
      </c>
      <c r="D77" s="2">
        <v>10</v>
      </c>
      <c r="E77">
        <v>0.3</v>
      </c>
    </row>
    <row r="78" spans="1:9">
      <c r="A78" t="s">
        <v>9</v>
      </c>
      <c r="B78" s="2" t="s">
        <v>68</v>
      </c>
      <c r="C78" s="2" t="s">
        <v>73</v>
      </c>
      <c r="D78" s="2">
        <v>100</v>
      </c>
      <c r="E78">
        <v>0.38</v>
      </c>
    </row>
    <row r="79" spans="1:9">
      <c r="A79" t="s">
        <v>9</v>
      </c>
      <c r="B79" s="2" t="s">
        <v>68</v>
      </c>
      <c r="C79" s="2" t="s">
        <v>74</v>
      </c>
      <c r="D79" s="2">
        <v>1</v>
      </c>
      <c r="E79">
        <v>0</v>
      </c>
    </row>
    <row r="80" spans="1:9">
      <c r="A80" t="s">
        <v>9</v>
      </c>
      <c r="B80" s="2" t="s">
        <v>68</v>
      </c>
      <c r="C80" s="2" t="s">
        <v>74</v>
      </c>
      <c r="D80" s="2">
        <v>10</v>
      </c>
      <c r="E80">
        <v>0.4</v>
      </c>
    </row>
    <row r="81" spans="1:5">
      <c r="A81" t="s">
        <v>9</v>
      </c>
      <c r="B81" s="2" t="s">
        <v>68</v>
      </c>
      <c r="C81" s="2" t="s">
        <v>74</v>
      </c>
      <c r="D81" s="2">
        <v>100</v>
      </c>
      <c r="E81">
        <v>2.59</v>
      </c>
    </row>
    <row r="82" spans="1:5">
      <c r="A82" t="s">
        <v>8</v>
      </c>
      <c r="B82" s="2" t="s">
        <v>69</v>
      </c>
      <c r="C82" s="2" t="s">
        <v>73</v>
      </c>
      <c r="D82" s="2">
        <v>1</v>
      </c>
      <c r="E82">
        <v>10</v>
      </c>
    </row>
    <row r="83" spans="1:5">
      <c r="A83" t="s">
        <v>8</v>
      </c>
      <c r="B83" s="2" t="s">
        <v>69</v>
      </c>
      <c r="C83" s="2" t="s">
        <v>73</v>
      </c>
      <c r="D83" s="2">
        <v>10</v>
      </c>
      <c r="E83">
        <v>9.9</v>
      </c>
    </row>
    <row r="84" spans="1:5">
      <c r="A84" t="s">
        <v>8</v>
      </c>
      <c r="B84" s="2" t="s">
        <v>69</v>
      </c>
      <c r="C84" s="2" t="s">
        <v>73</v>
      </c>
      <c r="D84" s="2">
        <v>100</v>
      </c>
      <c r="E84">
        <v>11.75</v>
      </c>
    </row>
    <row r="85" spans="1:5">
      <c r="A85" t="s">
        <v>8</v>
      </c>
      <c r="B85" s="2" t="s">
        <v>69</v>
      </c>
      <c r="C85" s="2" t="s">
        <v>74</v>
      </c>
      <c r="D85" s="2">
        <v>1</v>
      </c>
      <c r="E85">
        <v>10</v>
      </c>
    </row>
    <row r="86" spans="1:5">
      <c r="A86" t="s">
        <v>8</v>
      </c>
      <c r="B86" s="2" t="s">
        <v>69</v>
      </c>
      <c r="C86" s="2" t="s">
        <v>74</v>
      </c>
      <c r="D86" s="2">
        <v>10</v>
      </c>
      <c r="E86">
        <v>9.8000000000000007</v>
      </c>
    </row>
    <row r="87" spans="1:5">
      <c r="A87" t="s">
        <v>8</v>
      </c>
      <c r="B87" s="2" t="s">
        <v>69</v>
      </c>
      <c r="C87" s="2" t="s">
        <v>74</v>
      </c>
      <c r="D87" s="2">
        <v>100</v>
      </c>
      <c r="E87">
        <v>9.65</v>
      </c>
    </row>
    <row r="88" spans="1:5">
      <c r="A88" t="s">
        <v>9</v>
      </c>
      <c r="B88" s="2" t="s">
        <v>69</v>
      </c>
      <c r="C88" s="2" t="s">
        <v>73</v>
      </c>
      <c r="D88" s="2">
        <v>1</v>
      </c>
      <c r="E88">
        <v>4</v>
      </c>
    </row>
    <row r="89" spans="1:5">
      <c r="A89" t="s">
        <v>9</v>
      </c>
      <c r="B89" s="2" t="s">
        <v>69</v>
      </c>
      <c r="C89" s="2" t="s">
        <v>73</v>
      </c>
      <c r="D89" s="2">
        <v>10</v>
      </c>
      <c r="E89">
        <v>3.3</v>
      </c>
    </row>
    <row r="90" spans="1:5">
      <c r="A90" t="s">
        <v>9</v>
      </c>
      <c r="B90" s="2" t="s">
        <v>69</v>
      </c>
      <c r="C90" s="2" t="s">
        <v>73</v>
      </c>
      <c r="D90" s="2">
        <v>100</v>
      </c>
      <c r="E90">
        <v>3.34</v>
      </c>
    </row>
    <row r="91" spans="1:5">
      <c r="A91" t="s">
        <v>9</v>
      </c>
      <c r="B91" s="2" t="s">
        <v>69</v>
      </c>
      <c r="C91" s="2" t="s">
        <v>74</v>
      </c>
      <c r="D91" s="2">
        <v>1</v>
      </c>
      <c r="E91">
        <v>4</v>
      </c>
    </row>
    <row r="92" spans="1:5">
      <c r="A92" t="s">
        <v>9</v>
      </c>
      <c r="B92" s="2" t="s">
        <v>69</v>
      </c>
      <c r="C92" s="2" t="s">
        <v>74</v>
      </c>
      <c r="D92" s="2">
        <v>10</v>
      </c>
      <c r="E92">
        <v>3.4</v>
      </c>
    </row>
    <row r="93" spans="1:5">
      <c r="A93" t="s">
        <v>9</v>
      </c>
      <c r="B93" s="2" t="s">
        <v>69</v>
      </c>
      <c r="C93" s="2" t="s">
        <v>74</v>
      </c>
      <c r="D93" s="2">
        <v>100</v>
      </c>
      <c r="E93">
        <v>6.13</v>
      </c>
    </row>
    <row r="94" spans="1:5">
      <c r="A94" t="s">
        <v>8</v>
      </c>
      <c r="B94" t="s">
        <v>70</v>
      </c>
      <c r="C94" s="2" t="s">
        <v>73</v>
      </c>
      <c r="D94" s="2">
        <v>1</v>
      </c>
      <c r="E94">
        <v>2</v>
      </c>
    </row>
    <row r="95" spans="1:5">
      <c r="A95" t="s">
        <v>8</v>
      </c>
      <c r="B95" t="s">
        <v>70</v>
      </c>
      <c r="C95" s="2" t="s">
        <v>73</v>
      </c>
      <c r="D95" s="2">
        <v>10</v>
      </c>
      <c r="E95">
        <v>1.1000000000000001</v>
      </c>
    </row>
    <row r="96" spans="1:5">
      <c r="A96" t="s">
        <v>8</v>
      </c>
      <c r="B96" t="s">
        <v>70</v>
      </c>
      <c r="C96" s="2" t="s">
        <v>73</v>
      </c>
      <c r="D96" s="2">
        <v>100</v>
      </c>
      <c r="E96">
        <v>1.05</v>
      </c>
    </row>
    <row r="97" spans="1:5">
      <c r="A97" t="s">
        <v>8</v>
      </c>
      <c r="B97" t="s">
        <v>70</v>
      </c>
      <c r="C97" s="2" t="s">
        <v>74</v>
      </c>
      <c r="D97" s="2">
        <v>1</v>
      </c>
      <c r="E97">
        <v>1</v>
      </c>
    </row>
    <row r="98" spans="1:5">
      <c r="A98" t="s">
        <v>8</v>
      </c>
      <c r="B98" t="s">
        <v>70</v>
      </c>
      <c r="C98" s="2" t="s">
        <v>74</v>
      </c>
      <c r="D98" s="2">
        <v>10</v>
      </c>
      <c r="E98">
        <v>1.1000000000000001</v>
      </c>
    </row>
    <row r="99" spans="1:5">
      <c r="A99" t="s">
        <v>8</v>
      </c>
      <c r="B99" t="s">
        <v>70</v>
      </c>
      <c r="C99" s="2" t="s">
        <v>74</v>
      </c>
      <c r="D99" s="2">
        <v>100</v>
      </c>
      <c r="E99">
        <v>1.08</v>
      </c>
    </row>
    <row r="100" spans="1:5">
      <c r="A100" t="s">
        <v>9</v>
      </c>
      <c r="B100" t="s">
        <v>70</v>
      </c>
      <c r="C100" s="2" t="s">
        <v>73</v>
      </c>
      <c r="D100" s="2">
        <v>1</v>
      </c>
      <c r="E100">
        <v>1</v>
      </c>
    </row>
    <row r="101" spans="1:5">
      <c r="A101" t="s">
        <v>9</v>
      </c>
      <c r="B101" t="s">
        <v>70</v>
      </c>
      <c r="C101" s="2" t="s">
        <v>73</v>
      </c>
      <c r="D101" s="2">
        <v>10</v>
      </c>
      <c r="E101">
        <v>0.4</v>
      </c>
    </row>
    <row r="102" spans="1:5">
      <c r="A102" t="s">
        <v>9</v>
      </c>
      <c r="B102" t="s">
        <v>70</v>
      </c>
      <c r="C102" s="2" t="s">
        <v>73</v>
      </c>
      <c r="D102" s="2">
        <v>100</v>
      </c>
      <c r="E102">
        <v>0.37</v>
      </c>
    </row>
    <row r="103" spans="1:5">
      <c r="A103" t="s">
        <v>9</v>
      </c>
      <c r="B103" t="s">
        <v>70</v>
      </c>
      <c r="C103" s="2" t="s">
        <v>74</v>
      </c>
      <c r="D103" s="2">
        <v>1</v>
      </c>
      <c r="E103">
        <v>0</v>
      </c>
    </row>
    <row r="104" spans="1:5">
      <c r="A104" t="s">
        <v>9</v>
      </c>
      <c r="B104" t="s">
        <v>70</v>
      </c>
      <c r="C104" s="2" t="s">
        <v>74</v>
      </c>
      <c r="D104" s="2">
        <v>10</v>
      </c>
      <c r="E104">
        <v>0.4</v>
      </c>
    </row>
    <row r="105" spans="1:5">
      <c r="A105" t="s">
        <v>9</v>
      </c>
      <c r="B105" t="s">
        <v>70</v>
      </c>
      <c r="C105" s="2" t="s">
        <v>74</v>
      </c>
      <c r="D105" s="2">
        <v>100</v>
      </c>
      <c r="E105">
        <v>2.59</v>
      </c>
    </row>
    <row r="106" spans="1:5">
      <c r="A106" t="s">
        <v>8</v>
      </c>
      <c r="B106" t="s">
        <v>71</v>
      </c>
      <c r="C106" s="2" t="s">
        <v>73</v>
      </c>
      <c r="D106" s="2">
        <v>1</v>
      </c>
      <c r="E106">
        <v>2</v>
      </c>
    </row>
    <row r="107" spans="1:5">
      <c r="A107" t="s">
        <v>8</v>
      </c>
      <c r="B107" t="s">
        <v>71</v>
      </c>
      <c r="C107" s="2" t="s">
        <v>73</v>
      </c>
      <c r="D107" s="2">
        <v>10</v>
      </c>
      <c r="E107">
        <v>1.8</v>
      </c>
    </row>
    <row r="108" spans="1:5">
      <c r="A108" t="s">
        <v>8</v>
      </c>
      <c r="B108" t="s">
        <v>71</v>
      </c>
      <c r="C108" s="2" t="s">
        <v>73</v>
      </c>
      <c r="D108" s="2">
        <v>100</v>
      </c>
      <c r="E108">
        <v>1.73</v>
      </c>
    </row>
    <row r="109" spans="1:5">
      <c r="A109" t="s">
        <v>8</v>
      </c>
      <c r="B109" t="s">
        <v>71</v>
      </c>
      <c r="C109" s="2" t="s">
        <v>74</v>
      </c>
      <c r="D109" s="2">
        <v>1</v>
      </c>
      <c r="E109">
        <v>2</v>
      </c>
    </row>
    <row r="110" spans="1:5">
      <c r="A110" t="s">
        <v>8</v>
      </c>
      <c r="B110" t="s">
        <v>71</v>
      </c>
      <c r="C110" s="2" t="s">
        <v>74</v>
      </c>
      <c r="D110" s="2">
        <v>10</v>
      </c>
      <c r="E110">
        <v>1.8</v>
      </c>
    </row>
    <row r="111" spans="1:5">
      <c r="A111" t="s">
        <v>8</v>
      </c>
      <c r="B111" t="s">
        <v>71</v>
      </c>
      <c r="C111" s="2" t="s">
        <v>74</v>
      </c>
      <c r="D111" s="2">
        <v>100</v>
      </c>
      <c r="E111">
        <v>1.77</v>
      </c>
    </row>
    <row r="112" spans="1:5">
      <c r="A112" t="s">
        <v>9</v>
      </c>
      <c r="B112" t="s">
        <v>71</v>
      </c>
      <c r="C112" s="2" t="s">
        <v>73</v>
      </c>
      <c r="D112" s="2">
        <v>1</v>
      </c>
      <c r="E112">
        <v>1</v>
      </c>
    </row>
    <row r="113" spans="1:7">
      <c r="A113" t="s">
        <v>9</v>
      </c>
      <c r="B113" t="s">
        <v>71</v>
      </c>
      <c r="C113" s="2" t="s">
        <v>73</v>
      </c>
      <c r="D113" s="2">
        <v>10</v>
      </c>
      <c r="E113">
        <v>0.6</v>
      </c>
    </row>
    <row r="114" spans="1:7">
      <c r="A114" t="s">
        <v>9</v>
      </c>
      <c r="B114" t="s">
        <v>71</v>
      </c>
      <c r="C114" s="2" t="s">
        <v>73</v>
      </c>
      <c r="D114" s="2">
        <v>100</v>
      </c>
      <c r="E114">
        <v>0.61</v>
      </c>
    </row>
    <row r="115" spans="1:7">
      <c r="A115" t="s">
        <v>9</v>
      </c>
      <c r="B115" t="s">
        <v>71</v>
      </c>
      <c r="C115" s="2" t="s">
        <v>74</v>
      </c>
      <c r="D115" s="2">
        <v>1</v>
      </c>
      <c r="E115">
        <v>1</v>
      </c>
    </row>
    <row r="116" spans="1:7">
      <c r="A116" t="s">
        <v>9</v>
      </c>
      <c r="B116" t="s">
        <v>71</v>
      </c>
      <c r="C116" s="2" t="s">
        <v>74</v>
      </c>
      <c r="D116" s="2">
        <v>10</v>
      </c>
      <c r="E116">
        <v>0.6</v>
      </c>
    </row>
    <row r="117" spans="1:7">
      <c r="A117" t="s">
        <v>9</v>
      </c>
      <c r="B117" t="s">
        <v>71</v>
      </c>
      <c r="C117" s="2" t="s">
        <v>74</v>
      </c>
      <c r="D117" s="2">
        <v>100</v>
      </c>
      <c r="E117">
        <v>2.82</v>
      </c>
    </row>
    <row r="118" spans="1:7">
      <c r="A118" s="19"/>
      <c r="B118" s="19"/>
      <c r="C118" s="19"/>
    </row>
    <row r="119" spans="1:7" ht="20" thickBot="1">
      <c r="A119" s="39" t="s">
        <v>186</v>
      </c>
    </row>
    <row r="120" spans="1:7" ht="44" thickTop="1">
      <c r="A120" s="19" t="s">
        <v>7</v>
      </c>
      <c r="B120" s="19" t="s">
        <v>15</v>
      </c>
      <c r="C120" s="19" t="s">
        <v>72</v>
      </c>
      <c r="D120" s="19" t="s">
        <v>187</v>
      </c>
      <c r="F120" s="19"/>
      <c r="G120" s="19"/>
    </row>
    <row r="121" spans="1:7">
      <c r="A121" t="s">
        <v>8</v>
      </c>
      <c r="B121" s="2" t="s">
        <v>68</v>
      </c>
      <c r="C121" s="2" t="s">
        <v>73</v>
      </c>
      <c r="D121">
        <v>-13</v>
      </c>
    </row>
    <row r="122" spans="1:7">
      <c r="A122" t="s">
        <v>8</v>
      </c>
      <c r="B122" s="2" t="s">
        <v>68</v>
      </c>
      <c r="C122" s="2" t="s">
        <v>74</v>
      </c>
      <c r="D122">
        <v>-37</v>
      </c>
    </row>
    <row r="123" spans="1:7">
      <c r="A123" t="s">
        <v>9</v>
      </c>
      <c r="B123" s="2" t="s">
        <v>68</v>
      </c>
      <c r="C123" s="2" t="s">
        <v>73</v>
      </c>
      <c r="D123">
        <v>-20</v>
      </c>
    </row>
    <row r="124" spans="1:7">
      <c r="A124" t="s">
        <v>9</v>
      </c>
      <c r="B124" s="2" t="s">
        <v>68</v>
      </c>
      <c r="C124" s="2" t="s">
        <v>74</v>
      </c>
      <c r="D124">
        <v>-32</v>
      </c>
    </row>
    <row r="125" spans="1:7">
      <c r="A125" t="s">
        <v>8</v>
      </c>
      <c r="B125" s="2" t="s">
        <v>69</v>
      </c>
      <c r="C125" s="2" t="s">
        <v>73</v>
      </c>
      <c r="D125">
        <v>-132</v>
      </c>
    </row>
    <row r="126" spans="1:7">
      <c r="A126" t="s">
        <v>8</v>
      </c>
      <c r="B126" s="2" t="s">
        <v>69</v>
      </c>
      <c r="C126" s="2" t="s">
        <v>74</v>
      </c>
      <c r="D126">
        <v>-384</v>
      </c>
    </row>
    <row r="127" spans="1:7">
      <c r="A127" t="s">
        <v>9</v>
      </c>
      <c r="B127" s="2" t="s">
        <v>69</v>
      </c>
      <c r="C127" s="2" t="s">
        <v>73</v>
      </c>
      <c r="D127">
        <v>-210</v>
      </c>
    </row>
    <row r="128" spans="1:7">
      <c r="A128" t="s">
        <v>9</v>
      </c>
      <c r="B128" s="2" t="s">
        <v>69</v>
      </c>
      <c r="C128" s="2" t="s">
        <v>74</v>
      </c>
      <c r="D128">
        <v>-337</v>
      </c>
    </row>
    <row r="129" spans="1:4">
      <c r="A129" t="s">
        <v>8</v>
      </c>
      <c r="B129" t="s">
        <v>70</v>
      </c>
      <c r="C129" s="2" t="s">
        <v>73</v>
      </c>
      <c r="D129">
        <v>-13</v>
      </c>
    </row>
    <row r="130" spans="1:4">
      <c r="A130" t="s">
        <v>8</v>
      </c>
      <c r="B130" t="s">
        <v>70</v>
      </c>
      <c r="C130" s="2" t="s">
        <v>74</v>
      </c>
      <c r="D130">
        <v>-37</v>
      </c>
    </row>
    <row r="131" spans="1:4">
      <c r="A131" t="s">
        <v>9</v>
      </c>
      <c r="B131" t="s">
        <v>70</v>
      </c>
      <c r="C131" s="2" t="s">
        <v>73</v>
      </c>
      <c r="D131">
        <v>-20</v>
      </c>
    </row>
    <row r="132" spans="1:4">
      <c r="A132" t="s">
        <v>9</v>
      </c>
      <c r="B132" t="s">
        <v>70</v>
      </c>
      <c r="C132" s="2" t="s">
        <v>74</v>
      </c>
      <c r="D132">
        <v>-32</v>
      </c>
    </row>
    <row r="133" spans="1:4">
      <c r="A133" t="s">
        <v>8</v>
      </c>
      <c r="B133" t="s">
        <v>71</v>
      </c>
      <c r="C133" s="2" t="s">
        <v>73</v>
      </c>
      <c r="D133">
        <v>-120.14035087719297</v>
      </c>
    </row>
    <row r="134" spans="1:4">
      <c r="A134" t="s">
        <v>8</v>
      </c>
      <c r="B134" t="s">
        <v>71</v>
      </c>
      <c r="C134" s="2" t="s">
        <v>74</v>
      </c>
      <c r="D134">
        <v>-188.63157894736841</v>
      </c>
    </row>
    <row r="135" spans="1:4">
      <c r="A135" t="s">
        <v>9</v>
      </c>
      <c r="B135" t="s">
        <v>71</v>
      </c>
      <c r="C135" s="2" t="s">
        <v>73</v>
      </c>
      <c r="D135">
        <v>-191.52809560132212</v>
      </c>
    </row>
    <row r="136" spans="1:4">
      <c r="A136" t="s">
        <v>9</v>
      </c>
      <c r="B136" t="s">
        <v>71</v>
      </c>
      <c r="C136" s="2" t="s">
        <v>74</v>
      </c>
      <c r="D136">
        <v>-165.22815724173958</v>
      </c>
    </row>
    <row r="137" spans="1:4">
      <c r="A137" s="19"/>
      <c r="B137" s="19"/>
      <c r="C137" s="19"/>
    </row>
    <row r="4031" ht="5.5" customHeight="1"/>
    <row r="4033" customFormat="1"/>
    <row r="4034" customFormat="1"/>
    <row r="4035" customFormat="1"/>
    <row r="4036" customFormat="1"/>
    <row r="4037" customFormat="1"/>
    <row r="4038" customFormat="1"/>
    <row r="4039" customFormat="1"/>
    <row r="4040" customFormat="1"/>
    <row r="4041" customFormat="1"/>
    <row r="4042" customFormat="1"/>
    <row r="4043" customFormat="1"/>
    <row r="4044" customFormat="1"/>
    <row r="4045" customFormat="1"/>
    <row r="4046" customFormat="1"/>
    <row r="4047" customFormat="1"/>
    <row r="4048" customFormat="1"/>
    <row r="4049" customFormat="1"/>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2B924-B6FC-4F3D-BB99-A10CC2D54E1D}">
  <dimension ref="A1:O184"/>
  <sheetViews>
    <sheetView workbookViewId="0">
      <selection activeCell="H12" sqref="H12"/>
    </sheetView>
  </sheetViews>
  <sheetFormatPr defaultRowHeight="14.5"/>
  <cols>
    <col min="1" max="1" width="32.54296875" bestFit="1" customWidth="1"/>
    <col min="2" max="2" width="10.90625" bestFit="1" customWidth="1"/>
    <col min="3" max="3" width="12.26953125" bestFit="1" customWidth="1"/>
    <col min="6" max="6" width="21.26953125" bestFit="1" customWidth="1"/>
    <col min="7" max="7" width="42.08984375" bestFit="1" customWidth="1"/>
    <col min="8" max="8" width="9.90625" bestFit="1" customWidth="1"/>
    <col min="10" max="11" width="9.453125" bestFit="1" customWidth="1"/>
    <col min="12" max="12" width="8.81640625" bestFit="1" customWidth="1"/>
    <col min="13" max="13" width="10.08984375" bestFit="1" customWidth="1"/>
  </cols>
  <sheetData>
    <row r="1" spans="1:8" ht="20" thickBot="1">
      <c r="A1" s="39" t="s">
        <v>123</v>
      </c>
    </row>
    <row r="2" spans="1:8" ht="15" thickTop="1">
      <c r="A2" s="19"/>
    </row>
    <row r="3" spans="1:8">
      <c r="A3" s="110"/>
      <c r="B3" s="111" t="s">
        <v>206</v>
      </c>
      <c r="C3" s="112" t="s">
        <v>207</v>
      </c>
      <c r="F3" s="102" t="s">
        <v>126</v>
      </c>
      <c r="G3" s="103" t="s">
        <v>127</v>
      </c>
      <c r="H3" s="104">
        <f>Guide!H98</f>
        <v>280</v>
      </c>
    </row>
    <row r="4" spans="1:8">
      <c r="A4" s="113" t="s">
        <v>68</v>
      </c>
      <c r="B4">
        <v>512</v>
      </c>
      <c r="C4" s="114">
        <v>0</v>
      </c>
      <c r="F4" s="105"/>
      <c r="G4" s="63" t="s">
        <v>129</v>
      </c>
      <c r="H4" s="106">
        <f>Guide!H99</f>
        <v>54</v>
      </c>
    </row>
    <row r="5" spans="1:8">
      <c r="A5" s="113" t="s">
        <v>69</v>
      </c>
      <c r="B5">
        <v>1000</v>
      </c>
      <c r="C5" s="114">
        <v>0</v>
      </c>
      <c r="F5" s="105"/>
      <c r="G5" s="63" t="s">
        <v>130</v>
      </c>
      <c r="H5" s="106">
        <f>Guide!H100</f>
        <v>0</v>
      </c>
    </row>
    <row r="6" spans="1:8">
      <c r="A6" s="115" t="s">
        <v>70</v>
      </c>
      <c r="B6">
        <v>267</v>
      </c>
      <c r="C6" s="114">
        <v>300</v>
      </c>
      <c r="F6" s="105"/>
      <c r="G6" s="63" t="s">
        <v>131</v>
      </c>
      <c r="H6" s="106">
        <f>Guide!H101</f>
        <v>0</v>
      </c>
    </row>
    <row r="7" spans="1:8">
      <c r="A7" s="116" t="s">
        <v>71</v>
      </c>
      <c r="B7" s="61">
        <v>1000</v>
      </c>
      <c r="C7" s="117">
        <v>0</v>
      </c>
      <c r="F7" s="107" t="s">
        <v>132</v>
      </c>
      <c r="G7" s="63" t="s">
        <v>133</v>
      </c>
      <c r="H7" s="106">
        <f>Guide!H102</f>
        <v>0.8</v>
      </c>
    </row>
    <row r="8" spans="1:8">
      <c r="F8" s="107"/>
      <c r="G8" s="63" t="s">
        <v>135</v>
      </c>
      <c r="H8" s="118">
        <f>Guide!H103</f>
        <v>0.1</v>
      </c>
    </row>
    <row r="9" spans="1:8">
      <c r="A9" t="s">
        <v>208</v>
      </c>
      <c r="F9" s="105"/>
      <c r="G9" s="63" t="s">
        <v>137</v>
      </c>
      <c r="H9" s="114">
        <f>Guide!H104</f>
        <v>3000</v>
      </c>
    </row>
    <row r="10" spans="1:8">
      <c r="A10" s="21">
        <f>VLOOKUP(Guide!G246,$A$4:$C$7,2,FALSE)+VLOOKUP(Guide!G246,$A$4:$C$7,3,FALSE)</f>
        <v>1000</v>
      </c>
      <c r="F10" s="105"/>
      <c r="G10" s="63" t="s">
        <v>139</v>
      </c>
      <c r="H10" s="106">
        <f>Guide!H105</f>
        <v>300</v>
      </c>
    </row>
    <row r="11" spans="1:8">
      <c r="F11" s="105"/>
      <c r="G11" s="63" t="s">
        <v>141</v>
      </c>
      <c r="H11" s="106">
        <f>Guide!H106</f>
        <v>800</v>
      </c>
    </row>
    <row r="12" spans="1:8">
      <c r="A12" s="110" t="s">
        <v>209</v>
      </c>
      <c r="B12" s="112">
        <v>0.05</v>
      </c>
      <c r="F12" s="107" t="s">
        <v>142</v>
      </c>
      <c r="G12" s="63" t="s">
        <v>143</v>
      </c>
      <c r="H12" s="106">
        <f>Guide!H107</f>
        <v>10</v>
      </c>
    </row>
    <row r="13" spans="1:8">
      <c r="A13" s="115" t="s">
        <v>210</v>
      </c>
      <c r="B13" s="114">
        <v>25</v>
      </c>
      <c r="F13" s="105"/>
      <c r="G13" s="63" t="s">
        <v>130</v>
      </c>
      <c r="H13" s="106">
        <f>Guide!H108</f>
        <v>0</v>
      </c>
    </row>
    <row r="14" spans="1:8">
      <c r="A14" s="115" t="s">
        <v>211</v>
      </c>
      <c r="B14" s="120">
        <f>SUM(H3:H5)+IF(Guide!G246=Calculations!A7,Calculations!H6,0)+A10/(1-H8)*H7+(H10+H11)*((A10/(1-H8))/H9)</f>
        <v>1630.2962962962963</v>
      </c>
      <c r="F14" s="105"/>
      <c r="G14" s="63" t="s">
        <v>131</v>
      </c>
      <c r="H14" s="106">
        <f>Guide!H109</f>
        <v>0</v>
      </c>
    </row>
    <row r="15" spans="1:8">
      <c r="A15" s="115" t="s">
        <v>212</v>
      </c>
      <c r="B15" s="120">
        <f>SUM(H12:H13)+IF(Guide!G246=Calculations!A7,Calculations!H14,0)</f>
        <v>10</v>
      </c>
      <c r="F15" s="107" t="s">
        <v>144</v>
      </c>
      <c r="G15" s="63" t="s">
        <v>143</v>
      </c>
      <c r="H15" s="106">
        <f>Guide!H110</f>
        <v>0</v>
      </c>
    </row>
    <row r="16" spans="1:8">
      <c r="A16" s="115" t="s">
        <v>213</v>
      </c>
      <c r="B16" s="120">
        <f>SUM(H15:H16)+IF(Guide!G246=Calculations!A7,H17,0)</f>
        <v>0</v>
      </c>
      <c r="F16" s="105"/>
      <c r="G16" s="63" t="s">
        <v>130</v>
      </c>
      <c r="H16" s="106">
        <f>Guide!H111</f>
        <v>0</v>
      </c>
    </row>
    <row r="17" spans="1:15">
      <c r="A17" s="115"/>
      <c r="B17" s="114"/>
      <c r="F17" s="105"/>
      <c r="G17" s="63" t="s">
        <v>131</v>
      </c>
      <c r="H17" s="106">
        <f>Guide!H112</f>
        <v>0</v>
      </c>
    </row>
    <row r="18" spans="1:15">
      <c r="A18" s="115" t="s">
        <v>214</v>
      </c>
      <c r="B18" s="120" cm="1">
        <f t="array" aca="1" ref="B18" ca="1">B14 + B15/(1+$B$12)^1 + SUMPRODUCT(B16/(1+$B$12)^(ROW(INDIRECT("2:"&amp;($B$13-1)))))</f>
        <v>1639.8201058201059</v>
      </c>
      <c r="F18" s="107" t="s">
        <v>145</v>
      </c>
      <c r="G18" s="63" t="s">
        <v>146</v>
      </c>
      <c r="H18" s="106">
        <f>Guide!H113</f>
        <v>10000</v>
      </c>
    </row>
    <row r="19" spans="1:15">
      <c r="A19" s="116" t="s">
        <v>215</v>
      </c>
      <c r="B19" s="121">
        <f ca="1" xml:space="preserve"> B18 * ($B$12 / (1 - (1+$B$12)^-$B$13))</f>
        <v>116.34926603661927</v>
      </c>
      <c r="F19" s="107"/>
      <c r="G19" s="63" t="s">
        <v>148</v>
      </c>
      <c r="H19" s="106">
        <f>Guide!H114</f>
        <v>25</v>
      </c>
    </row>
    <row r="20" spans="1:15">
      <c r="F20" s="107" t="s">
        <v>149</v>
      </c>
      <c r="G20" s="63" t="s">
        <v>150</v>
      </c>
      <c r="H20" s="106">
        <f>Guide!H115</f>
        <v>10000</v>
      </c>
    </row>
    <row r="21" spans="1:15">
      <c r="F21" s="107"/>
      <c r="G21" s="63" t="s">
        <v>151</v>
      </c>
      <c r="H21" s="106">
        <f>Guide!H116</f>
        <v>25</v>
      </c>
    </row>
    <row r="22" spans="1:15">
      <c r="F22" s="107" t="s">
        <v>152</v>
      </c>
      <c r="G22" s="63" t="s">
        <v>153</v>
      </c>
      <c r="H22" s="106">
        <f>Guide!H117</f>
        <v>300</v>
      </c>
    </row>
    <row r="23" spans="1:15">
      <c r="F23" s="107"/>
      <c r="G23" s="63" t="s">
        <v>155</v>
      </c>
      <c r="H23" s="106">
        <f>Guide!H118</f>
        <v>40</v>
      </c>
    </row>
    <row r="24" spans="1:15">
      <c r="F24" s="108"/>
      <c r="G24" s="57" t="s">
        <v>157</v>
      </c>
      <c r="H24" s="109">
        <f>Guide!H120</f>
        <v>60</v>
      </c>
    </row>
    <row r="28" spans="1:15" ht="20" thickBot="1">
      <c r="A28" s="39" t="s">
        <v>216</v>
      </c>
    </row>
    <row r="29" spans="1:15" ht="29.5" thickTop="1">
      <c r="A29" s="131" t="s">
        <v>229</v>
      </c>
      <c r="B29" s="134">
        <v>0.05</v>
      </c>
      <c r="E29" s="126" t="s">
        <v>217</v>
      </c>
      <c r="F29" s="127" t="str">
        <f>'[2]Planting config'!$G$13</f>
        <v>Carbon</v>
      </c>
      <c r="G29" s="127" t="str">
        <f>'[2]Planting config'!$H$13</f>
        <v>Carbon &amp; co-benefits</v>
      </c>
      <c r="H29" s="127" t="str">
        <f>'[2]Planting config'!$I$13</f>
        <v>Biodiversity</v>
      </c>
      <c r="I29" s="127" t="str">
        <f>'[2]Planting config'!$J$13</f>
        <v>Harvested</v>
      </c>
      <c r="K29" s="126" t="s">
        <v>217</v>
      </c>
      <c r="L29" s="127" t="str">
        <f>'[2]Planting config'!$G$13</f>
        <v>Carbon</v>
      </c>
      <c r="M29" s="127" t="str">
        <f>'[2]Planting config'!$H$13</f>
        <v>Carbon &amp; co-benefits</v>
      </c>
      <c r="N29" s="127" t="str">
        <f>'[2]Planting config'!$I$13</f>
        <v>Biodiversity</v>
      </c>
      <c r="O29" s="127" t="str">
        <f>'[2]Planting config'!$J$13</f>
        <v>Harvested</v>
      </c>
    </row>
    <row r="30" spans="1:15">
      <c r="A30" s="137" t="s">
        <v>232</v>
      </c>
      <c r="B30" s="136">
        <v>25</v>
      </c>
      <c r="E30" s="126">
        <v>0</v>
      </c>
      <c r="F30" s="128">
        <v>0</v>
      </c>
      <c r="G30" s="128">
        <f>F30*1.4</f>
        <v>0</v>
      </c>
      <c r="H30" s="128">
        <v>0</v>
      </c>
      <c r="I30" s="128">
        <v>0</v>
      </c>
      <c r="K30" s="126">
        <v>0</v>
      </c>
      <c r="L30" s="158">
        <f>F30*Guide!H$167/F$56</f>
        <v>0</v>
      </c>
      <c r="M30" s="158">
        <f>G30*Guide!I$167/G$56</f>
        <v>0</v>
      </c>
      <c r="N30" s="158">
        <f>H30*Guide!J$167/H$56</f>
        <v>0</v>
      </c>
      <c r="O30" s="158">
        <f>I30*Guide!K$167/I$56</f>
        <v>0</v>
      </c>
    </row>
    <row r="31" spans="1:15">
      <c r="A31" s="131"/>
      <c r="B31" s="135"/>
      <c r="E31" s="126">
        <v>1</v>
      </c>
      <c r="F31" s="128">
        <v>904.60832268748607</v>
      </c>
      <c r="G31" s="128">
        <v>1266.4516517624804</v>
      </c>
      <c r="H31" s="128">
        <v>901.11026723437305</v>
      </c>
      <c r="I31" s="128">
        <v>660.31772288059699</v>
      </c>
      <c r="K31" s="126">
        <v>1</v>
      </c>
      <c r="L31" s="158">
        <f>F31*Guide!H$167/F$56</f>
        <v>905.09059847018091</v>
      </c>
      <c r="M31" s="158">
        <f>G31*Guide!I$167/G$56</f>
        <v>1266.8832064723931</v>
      </c>
      <c r="N31" s="158">
        <f>H31*Guide!J$167/H$56</f>
        <v>900.4788501343686</v>
      </c>
      <c r="O31" s="158">
        <f>I31*Guide!K$167/I$56</f>
        <v>645.13430902322079</v>
      </c>
    </row>
    <row r="32" spans="1:15">
      <c r="A32" s="131" t="s">
        <v>226</v>
      </c>
      <c r="B32" s="132">
        <v>0</v>
      </c>
      <c r="E32" s="126">
        <v>2</v>
      </c>
      <c r="F32" s="128">
        <v>301.17203770330394</v>
      </c>
      <c r="G32" s="128">
        <v>421.64085278462539</v>
      </c>
      <c r="H32" s="128">
        <v>67.016719898955969</v>
      </c>
      <c r="I32" s="128">
        <v>4435.4599879048828</v>
      </c>
      <c r="K32" s="126">
        <v>2</v>
      </c>
      <c r="L32" s="158">
        <f>F32*Guide!H$167/F$56</f>
        <v>301.33260220018769</v>
      </c>
      <c r="M32" s="158">
        <f>G32*Guide!I$167/G$56</f>
        <v>421.78453067051828</v>
      </c>
      <c r="N32" s="158">
        <f>H32*Guide!J$167/H$56</f>
        <v>66.969760603885149</v>
      </c>
      <c r="O32" s="158">
        <f>I32*Guide!K$167/I$56</f>
        <v>4333.4705632527584</v>
      </c>
    </row>
    <row r="33" spans="1:15">
      <c r="A33" s="131" t="s">
        <v>225</v>
      </c>
      <c r="B33" s="132">
        <v>0</v>
      </c>
      <c r="E33" s="126">
        <v>3</v>
      </c>
      <c r="F33" s="128">
        <v>2044.9880223868902</v>
      </c>
      <c r="G33" s="128">
        <v>2862.9832313416459</v>
      </c>
      <c r="H33" s="128">
        <v>435.06267582010094</v>
      </c>
      <c r="I33" s="128">
        <v>13053.774202707722</v>
      </c>
      <c r="K33" s="126">
        <v>3</v>
      </c>
      <c r="L33" s="158">
        <f>F33*Guide!H$167/F$56</f>
        <v>2046.0782712541215</v>
      </c>
      <c r="M33" s="158">
        <f>G33*Guide!I$167/G$56</f>
        <v>2863.9588184445306</v>
      </c>
      <c r="N33" s="158">
        <f>H33*Guide!J$167/H$56</f>
        <v>434.75782299234481</v>
      </c>
      <c r="O33" s="158">
        <f>I33*Guide!K$167/I$56</f>
        <v>12753.614371686055</v>
      </c>
    </row>
    <row r="34" spans="1:15">
      <c r="A34" s="131" t="s">
        <v>224</v>
      </c>
      <c r="B34" s="130">
        <v>40</v>
      </c>
      <c r="E34" s="126">
        <v>4</v>
      </c>
      <c r="F34" s="128">
        <v>4934.1417679045298</v>
      </c>
      <c r="G34" s="128">
        <v>6907.7984750663418</v>
      </c>
      <c r="H34" s="128">
        <v>1463.01901687332</v>
      </c>
      <c r="I34" s="128">
        <v>17680.035472630298</v>
      </c>
      <c r="K34" s="126">
        <v>4</v>
      </c>
      <c r="L34" s="158">
        <f>F34*Guide!H$167/F$56</f>
        <v>4936.7723175284527</v>
      </c>
      <c r="M34" s="158">
        <f>G34*Guide!I$167/G$56</f>
        <v>6910.1523690842414</v>
      </c>
      <c r="N34" s="158">
        <f>H34*Guide!J$167/H$56</f>
        <v>1461.993864615627</v>
      </c>
      <c r="O34" s="158">
        <f>I34*Guide!K$167/I$56</f>
        <v>17273.498912589217</v>
      </c>
    </row>
    <row r="35" spans="1:15">
      <c r="A35" s="131" t="s">
        <v>223</v>
      </c>
      <c r="B35" s="130">
        <v>8</v>
      </c>
      <c r="E35" s="126">
        <v>5</v>
      </c>
      <c r="F35" s="128">
        <v>7509.7121883336904</v>
      </c>
      <c r="G35" s="128">
        <v>10513.597063667165</v>
      </c>
      <c r="H35" s="128">
        <v>2780.3380256964801</v>
      </c>
      <c r="I35" s="128">
        <v>18752.611820313101</v>
      </c>
      <c r="K35" s="126">
        <v>5</v>
      </c>
      <c r="L35" s="158">
        <f>F35*Guide!H$167/F$56</f>
        <v>7513.7158573610568</v>
      </c>
      <c r="M35" s="158">
        <f>G35*Guide!I$167/G$56</f>
        <v>10517.179665754371</v>
      </c>
      <c r="N35" s="158">
        <f>H35*Guide!J$167/H$56</f>
        <v>2778.38981465389</v>
      </c>
      <c r="O35" s="158">
        <f>I35*Guide!K$167/I$56</f>
        <v>18321.412329055427</v>
      </c>
    </row>
    <row r="36" spans="1:15">
      <c r="A36" s="131" t="s">
        <v>222</v>
      </c>
      <c r="B36" s="130">
        <v>0</v>
      </c>
      <c r="E36" s="126">
        <v>6</v>
      </c>
      <c r="F36" s="128">
        <v>9267.0510285642995</v>
      </c>
      <c r="G36" s="128">
        <v>12973.87143999002</v>
      </c>
      <c r="H36" s="128">
        <v>3970.4164977698006</v>
      </c>
      <c r="I36" s="128">
        <v>18198.349612554197</v>
      </c>
      <c r="K36" s="126">
        <v>6</v>
      </c>
      <c r="L36" s="158">
        <f>F36*Guide!H$167/F$56</f>
        <v>9271.9915914311059</v>
      </c>
      <c r="M36" s="158">
        <f>G36*Guide!I$167/G$56</f>
        <v>12978.292402541521</v>
      </c>
      <c r="N36" s="158">
        <f>H36*Guide!J$167/H$56</f>
        <v>3967.6343866764205</v>
      </c>
      <c r="O36" s="158">
        <f>I36*Guide!K$167/I$56</f>
        <v>17779.894883695441</v>
      </c>
    </row>
    <row r="37" spans="1:15">
      <c r="A37" s="131" t="s">
        <v>221</v>
      </c>
      <c r="B37" s="130">
        <v>2.7</v>
      </c>
      <c r="E37" s="126">
        <v>7</v>
      </c>
      <c r="F37" s="128">
        <v>10283.526955063298</v>
      </c>
      <c r="G37" s="128">
        <v>14396.937737088614</v>
      </c>
      <c r="H37" s="128">
        <v>4867.2480242303691</v>
      </c>
      <c r="I37" s="128">
        <v>17043.7848495625</v>
      </c>
      <c r="K37" s="126">
        <v>7</v>
      </c>
      <c r="L37" s="158">
        <f>F37*Guide!H$167/F$56</f>
        <v>10289.00943392927</v>
      </c>
      <c r="M37" s="158">
        <f>G37*Guide!I$167/G$56</f>
        <v>14401.843622189015</v>
      </c>
      <c r="N37" s="158">
        <f>H37*Guide!J$167/H$56</f>
        <v>4863.8374941940237</v>
      </c>
      <c r="O37" s="158">
        <f>I37*Guide!K$167/I$56</f>
        <v>16651.878302002242</v>
      </c>
    </row>
    <row r="38" spans="1:15">
      <c r="A38" s="131" t="s">
        <v>220</v>
      </c>
      <c r="B38" s="130">
        <v>2.1229999999999999E-3</v>
      </c>
      <c r="E38" s="126">
        <v>8</v>
      </c>
      <c r="F38" s="128">
        <v>10762.4917562868</v>
      </c>
      <c r="G38" s="128">
        <v>15067.488458801521</v>
      </c>
      <c r="H38" s="128">
        <v>5465.4258858508019</v>
      </c>
      <c r="I38" s="128">
        <v>15727.244646452704</v>
      </c>
      <c r="K38" s="126">
        <v>8</v>
      </c>
      <c r="L38" s="158">
        <f>F38*Guide!H$167/F$56</f>
        <v>10768.229586688458</v>
      </c>
      <c r="M38" s="158">
        <f>G38*Guide!I$167/G$56</f>
        <v>15072.622840048449</v>
      </c>
      <c r="N38" s="158">
        <f>H38*Guide!J$167/H$56</f>
        <v>5461.5962065222948</v>
      </c>
      <c r="O38" s="158">
        <f>I38*Guide!K$167/I$56</f>
        <v>15365.610760175088</v>
      </c>
    </row>
    <row r="39" spans="1:15">
      <c r="A39" s="131" t="s">
        <v>219</v>
      </c>
      <c r="B39" s="130">
        <v>1.3509999999999999E-2</v>
      </c>
      <c r="E39" s="126">
        <v>9</v>
      </c>
      <c r="F39" s="128">
        <v>10882.192396325401</v>
      </c>
      <c r="G39" s="128">
        <v>15235.069354855554</v>
      </c>
      <c r="H39" s="128">
        <v>5816.6667955107987</v>
      </c>
      <c r="I39" s="128">
        <v>-46330.213067516597</v>
      </c>
      <c r="K39" s="126">
        <v>9</v>
      </c>
      <c r="L39" s="158">
        <f>F39*Guide!H$167/F$56</f>
        <v>10887.994042986998</v>
      </c>
      <c r="M39" s="158">
        <f>G39*Guide!I$167/G$56</f>
        <v>15240.260840789329</v>
      </c>
      <c r="N39" s="158">
        <f>H39*Guide!J$167/H$56</f>
        <v>5812.5909981158966</v>
      </c>
      <c r="O39" s="158">
        <f>I39*Guide!K$167/I$56</f>
        <v>-45264.891367478383</v>
      </c>
    </row>
    <row r="40" spans="1:15">
      <c r="A40" s="131" t="s">
        <v>218</v>
      </c>
      <c r="B40" s="140">
        <f>SUM(B37:B39)</f>
        <v>2.7156330000000004</v>
      </c>
      <c r="E40" s="126">
        <v>10</v>
      </c>
      <c r="F40" s="128">
        <v>10771.241360873602</v>
      </c>
      <c r="G40" s="128">
        <v>15079.737905223055</v>
      </c>
      <c r="H40" s="128">
        <v>5981.0237149237009</v>
      </c>
      <c r="I40" s="128">
        <v>15480.554683475304</v>
      </c>
      <c r="K40" s="126">
        <v>10</v>
      </c>
      <c r="L40" s="158">
        <f>F40*Guide!H$167/F$56</f>
        <v>10776.983855970791</v>
      </c>
      <c r="M40" s="158">
        <f>G40*Guide!I$167/G$56</f>
        <v>15084.87646057824</v>
      </c>
      <c r="N40" s="158">
        <f>H40*Guide!J$167/H$56</f>
        <v>5976.8327509690616</v>
      </c>
      <c r="O40" s="158">
        <f>I40*Guide!K$167/I$56</f>
        <v>15124.593211662057</v>
      </c>
    </row>
    <row r="41" spans="1:15">
      <c r="A41" s="129" t="s">
        <v>209</v>
      </c>
      <c r="B41" s="141">
        <f>B12</f>
        <v>0.05</v>
      </c>
      <c r="E41" s="126">
        <v>11</v>
      </c>
      <c r="F41" s="128">
        <v>10516.723292713294</v>
      </c>
      <c r="G41" s="128">
        <v>14723.412609798601</v>
      </c>
      <c r="H41" s="128">
        <v>6010.4392085805002</v>
      </c>
      <c r="I41" s="128">
        <v>15449.357350822196</v>
      </c>
      <c r="K41" s="126">
        <v>11</v>
      </c>
      <c r="L41" s="158">
        <f>F41*Guide!H$167/F$56</f>
        <v>10522.330096044827</v>
      </c>
      <c r="M41" s="158">
        <f>G41*Guide!I$167/G$56</f>
        <v>14728.429744127339</v>
      </c>
      <c r="N41" s="158">
        <f>H41*Guide!J$167/H$56</f>
        <v>6006.2276328912312</v>
      </c>
      <c r="O41" s="158">
        <f>I41*Guide!K$167/I$56</f>
        <v>15094.113233695192</v>
      </c>
    </row>
    <row r="42" spans="1:15">
      <c r="A42" s="131" t="s">
        <v>231</v>
      </c>
      <c r="B42" s="138">
        <f>IF(Guide!G250="Included",1,0)</f>
        <v>1</v>
      </c>
      <c r="E42" s="126">
        <v>12</v>
      </c>
      <c r="F42" s="128">
        <v>10176.308121573002</v>
      </c>
      <c r="G42" s="128">
        <v>14246.831370202202</v>
      </c>
      <c r="H42" s="128">
        <v>5945.4745671458013</v>
      </c>
      <c r="I42" s="128">
        <v>15053.401911057093</v>
      </c>
      <c r="K42" s="126">
        <v>12</v>
      </c>
      <c r="L42" s="158">
        <f>F42*Guide!H$167/F$56</f>
        <v>10181.733438631432</v>
      </c>
      <c r="M42" s="158">
        <f>G42*Guide!I$167/G$56</f>
        <v>14251.686105217617</v>
      </c>
      <c r="N42" s="158">
        <f>H42*Guide!J$167/H$56</f>
        <v>5941.3085128394196</v>
      </c>
      <c r="O42" s="158">
        <f>I42*Guide!K$167/I$56</f>
        <v>14707.262434170256</v>
      </c>
    </row>
    <row r="43" spans="1:15">
      <c r="A43" s="131" t="s">
        <v>230</v>
      </c>
      <c r="B43" s="139">
        <f>HLOOKUP(Guide!J245,Guide!$H$169:$J$170,2)</f>
        <v>40</v>
      </c>
      <c r="E43" s="126">
        <v>13</v>
      </c>
      <c r="F43" s="128">
        <v>9787.9047944845042</v>
      </c>
      <c r="G43" s="128">
        <v>13703.066712278314</v>
      </c>
      <c r="H43" s="128">
        <v>5816.4040300997967</v>
      </c>
      <c r="I43" s="128">
        <v>14533.506580725998</v>
      </c>
      <c r="K43" s="126">
        <v>13</v>
      </c>
      <c r="L43" s="158">
        <f>F43*Guide!H$167/F$56</f>
        <v>9793.1230412409332</v>
      </c>
      <c r="M43" s="158">
        <f>G43*Guide!I$167/G$56</f>
        <v>13707.736154630653</v>
      </c>
      <c r="N43" s="158">
        <f>H43*Guide!J$167/H$56</f>
        <v>5812.3284168272812</v>
      </c>
      <c r="O43" s="158">
        <f>I43*Guide!K$167/I$56</f>
        <v>14199.32163071222</v>
      </c>
    </row>
    <row r="44" spans="1:15">
      <c r="E44" s="126">
        <v>14</v>
      </c>
      <c r="F44" s="128">
        <v>9376.349902657892</v>
      </c>
      <c r="G44" s="128">
        <v>13126.889863721033</v>
      </c>
      <c r="H44" s="128">
        <v>5645.3202045447033</v>
      </c>
      <c r="I44" s="128">
        <v>13933.801653632003</v>
      </c>
      <c r="K44" s="126">
        <v>14</v>
      </c>
      <c r="L44" s="158">
        <f>F44*Guide!H$167/F$56</f>
        <v>9381.3487362687647</v>
      </c>
      <c r="M44" s="158">
        <f>G44*Guide!I$167/G$56</f>
        <v>13131.362968666894</v>
      </c>
      <c r="N44" s="158">
        <f>H44*Guide!J$167/H$56</f>
        <v>5641.3644714432594</v>
      </c>
      <c r="O44" s="158">
        <f>I44*Guide!K$167/I$56</f>
        <v>13613.406380594717</v>
      </c>
    </row>
    <row r="45" spans="1:15">
      <c r="B45" t="s">
        <v>8</v>
      </c>
      <c r="C45" t="s">
        <v>9</v>
      </c>
      <c r="E45" s="126">
        <v>15</v>
      </c>
      <c r="F45" s="128">
        <v>8957.8392884559998</v>
      </c>
      <c r="G45" s="128">
        <v>12540.975003838412</v>
      </c>
      <c r="H45" s="128">
        <v>5448.1396694138975</v>
      </c>
      <c r="I45" s="128">
        <v>-51931.895555826995</v>
      </c>
      <c r="K45" s="126">
        <v>15</v>
      </c>
      <c r="L45" s="158">
        <f>F45*Guide!H$167/F$56</f>
        <v>8962.6150006020689</v>
      </c>
      <c r="M45" s="158">
        <f>G45*Guide!I$167/G$56</f>
        <v>12545.248453063474</v>
      </c>
      <c r="N45" s="158">
        <f>H45*Guide!J$167/H$56</f>
        <v>5444.322102712501</v>
      </c>
      <c r="O45" s="158">
        <f>I45*Guide!K$167/I$56</f>
        <v>-50737.768190621115</v>
      </c>
    </row>
    <row r="46" spans="1:15">
      <c r="A46" s="131" t="s">
        <v>228</v>
      </c>
      <c r="B46" s="133">
        <v>1</v>
      </c>
      <c r="C46">
        <v>0.64</v>
      </c>
      <c r="E46" s="126">
        <v>16</v>
      </c>
      <c r="F46" s="128">
        <v>8542.8308307100033</v>
      </c>
      <c r="G46" s="128">
        <v>11959.963162994001</v>
      </c>
      <c r="H46" s="128">
        <v>5236.2255011612997</v>
      </c>
      <c r="I46" s="128">
        <v>13459.406761163094</v>
      </c>
      <c r="K46" s="126">
        <v>16</v>
      </c>
      <c r="L46" s="158">
        <f>F46*Guide!H$167/F$56</f>
        <v>8547.385288503483</v>
      </c>
      <c r="M46" s="158">
        <f>G46*Guide!I$167/G$56</f>
        <v>11964.038627245785</v>
      </c>
      <c r="N46" s="158">
        <f>H46*Guide!J$167/H$56</f>
        <v>5232.5564248660539</v>
      </c>
      <c r="O46" s="158">
        <f>I46*Guide!K$167/I$56</f>
        <v>13149.919773235526</v>
      </c>
    </row>
    <row r="47" spans="1:15">
      <c r="A47" s="131" t="s">
        <v>233</v>
      </c>
      <c r="B47" s="133">
        <v>0.7</v>
      </c>
      <c r="C47">
        <v>0.84499999999999997</v>
      </c>
      <c r="E47" s="126">
        <v>17</v>
      </c>
      <c r="F47" s="128">
        <v>8137.9501785060029</v>
      </c>
      <c r="G47" s="128">
        <v>11393.13024990841</v>
      </c>
      <c r="H47" s="128">
        <v>5017.6197422762953</v>
      </c>
      <c r="I47" s="128">
        <v>13974.271756070906</v>
      </c>
      <c r="K47" s="126">
        <v>17</v>
      </c>
      <c r="L47" s="158">
        <f>F47*Guide!H$167/F$56</f>
        <v>8142.2887814056648</v>
      </c>
      <c r="M47" s="158">
        <f>G47*Guide!I$167/G$56</f>
        <v>11397.012560783172</v>
      </c>
      <c r="N47" s="158">
        <f>H47*Guide!J$167/H$56</f>
        <v>5014.1038452525972</v>
      </c>
      <c r="O47" s="158">
        <f>I47*Guide!K$167/I$56</f>
        <v>13652.945909322076</v>
      </c>
    </row>
    <row r="48" spans="1:15">
      <c r="A48" s="131" t="s">
        <v>234</v>
      </c>
      <c r="B48" s="133">
        <v>1</v>
      </c>
      <c r="C48" s="133">
        <v>1</v>
      </c>
      <c r="E48" s="126">
        <v>18</v>
      </c>
      <c r="F48" s="128">
        <v>7747.2518488449969</v>
      </c>
      <c r="G48" s="128">
        <v>10846.152588382978</v>
      </c>
      <c r="H48" s="128">
        <v>4797.9542038658992</v>
      </c>
      <c r="I48" s="128">
        <v>14034.156959371003</v>
      </c>
      <c r="K48" s="126">
        <v>18</v>
      </c>
      <c r="L48" s="158">
        <f>F48*Guide!H$167/F$56</f>
        <v>7751.3821579029936</v>
      </c>
      <c r="M48" s="158">
        <f>G48*Guide!I$167/G$56</f>
        <v>10849.848511734994</v>
      </c>
      <c r="N48" s="158">
        <f>H48*Guide!J$167/H$56</f>
        <v>4794.5922287120075</v>
      </c>
      <c r="O48" s="158">
        <f>I48*Guide!K$167/I$56</f>
        <v>13711.454106078001</v>
      </c>
    </row>
    <row r="49" spans="1:15">
      <c r="A49" s="131" t="s">
        <v>228</v>
      </c>
      <c r="B49" s="160">
        <f>HLOOKUP(Guide!$G$245,Calculations!$B$45:$C$46,2,FALSE)</f>
        <v>1</v>
      </c>
      <c r="E49" s="126">
        <v>19</v>
      </c>
      <c r="F49" s="128">
        <v>7373.0618431860075</v>
      </c>
      <c r="G49" s="128">
        <v>10322.286580460428</v>
      </c>
      <c r="H49" s="128">
        <v>4581.1155781120051</v>
      </c>
      <c r="I49" s="128">
        <v>13883.814039864987</v>
      </c>
      <c r="K49" s="126">
        <v>19</v>
      </c>
      <c r="L49" s="158">
        <f>F49*Guide!H$167/F$56</f>
        <v>7376.9926595206562</v>
      </c>
      <c r="M49" s="158">
        <f>G49*Guide!I$167/G$56</f>
        <v>10325.803991792054</v>
      </c>
      <c r="N49" s="158">
        <f>H49*Guide!J$167/H$56</f>
        <v>4577.9055439815602</v>
      </c>
      <c r="O49" s="158">
        <f>I49*Guide!K$167/I$56</f>
        <v>13564.568187176827</v>
      </c>
    </row>
    <row r="50" spans="1:15">
      <c r="A50" s="131" t="s">
        <v>227</v>
      </c>
      <c r="B50" s="160">
        <f>HLOOKUP(Guide!$G$245,$B$45:$C$48,IF(Guide!$G$247="Good",4,3),FALSE)</f>
        <v>1</v>
      </c>
      <c r="E50" s="126">
        <v>20</v>
      </c>
      <c r="F50" s="128">
        <v>7016.5459554590088</v>
      </c>
      <c r="G50" s="128">
        <v>9823.1643376425945</v>
      </c>
      <c r="H50" s="128">
        <v>4369.7289636819933</v>
      </c>
      <c r="I50" s="128">
        <v>13577.638351468011</v>
      </c>
      <c r="K50" s="126">
        <v>20</v>
      </c>
      <c r="L50" s="158">
        <f>F50*Guide!H$167/F$56</f>
        <v>7020.2867017108565</v>
      </c>
      <c r="M50" s="158">
        <f>G50*Guide!I$167/G$56</f>
        <v>9826.5116686127567</v>
      </c>
      <c r="N50" s="158">
        <f>H50*Guide!J$167/H$56</f>
        <v>4366.6670502953866</v>
      </c>
      <c r="O50" s="158">
        <f>I50*Guide!K$167/I$56</f>
        <v>13265.432734152782</v>
      </c>
    </row>
    <row r="51" spans="1:15">
      <c r="E51" s="126">
        <v>21</v>
      </c>
      <c r="F51" s="128">
        <v>6678.0961513339889</v>
      </c>
      <c r="G51" s="128">
        <v>9349.3346118675909</v>
      </c>
      <c r="H51" s="128">
        <v>4165.5090745112066</v>
      </c>
      <c r="I51" s="128">
        <v>-54805.162065551602</v>
      </c>
      <c r="K51" s="126">
        <v>21</v>
      </c>
      <c r="L51" s="158">
        <f>F51*Guide!H$167/F$56</f>
        <v>6681.6564591130809</v>
      </c>
      <c r="M51" s="158">
        <f>G51*Guide!I$167/G$56</f>
        <v>9352.5204811273343</v>
      </c>
      <c r="N51" s="158">
        <f>H51*Guide!J$167/H$56</f>
        <v>4162.5902600713907</v>
      </c>
      <c r="O51" s="158">
        <f>I51*Guide!K$167/I$56</f>
        <v>-53544.966513731895</v>
      </c>
    </row>
    <row r="52" spans="1:15">
      <c r="E52" s="126">
        <v>22</v>
      </c>
      <c r="F52" s="128">
        <v>6357.5948443730113</v>
      </c>
      <c r="G52" s="128">
        <v>8900.6327821222148</v>
      </c>
      <c r="H52" s="128">
        <v>3969.515538167002</v>
      </c>
      <c r="I52" s="128">
        <v>13243.903183144595</v>
      </c>
      <c r="K52" s="126">
        <v>22</v>
      </c>
      <c r="L52" s="158">
        <f>F52*Guide!H$167/F$56</f>
        <v>6360.9842826002841</v>
      </c>
      <c r="M52" s="158">
        <f>G52*Guide!I$167/G$56</f>
        <v>8903.6657522265086</v>
      </c>
      <c r="N52" s="158">
        <f>H52*Guide!J$167/H$56</f>
        <v>3966.7340583851496</v>
      </c>
      <c r="O52" s="158">
        <f>I52*Guide!K$167/I$56</f>
        <v>12939.371506727561</v>
      </c>
    </row>
    <row r="53" spans="1:15">
      <c r="A53" s="161" t="s">
        <v>236</v>
      </c>
      <c r="B53" s="139">
        <f>SUMPRODUCT(Calculations!M60:M85,Calculations!B60:B85)</f>
        <v>2995.418016722173</v>
      </c>
      <c r="E53" s="126">
        <v>23</v>
      </c>
      <c r="F53" s="128">
        <v>6054.5963173299806</v>
      </c>
      <c r="G53" s="128">
        <v>8476.4348442619739</v>
      </c>
      <c r="H53" s="128">
        <v>3782.3387267813046</v>
      </c>
      <c r="I53" s="128">
        <v>13913.467780040008</v>
      </c>
      <c r="K53" s="126">
        <v>23</v>
      </c>
      <c r="L53" s="158">
        <f>F53*Guide!H$167/F$56</f>
        <v>6057.8242173001763</v>
      </c>
      <c r="M53" s="158">
        <f>G53*Guide!I$167/G$56</f>
        <v>8479.323265130799</v>
      </c>
      <c r="N53" s="158">
        <f>H53*Guide!J$167/H$56</f>
        <v>3779.6884036888505</v>
      </c>
      <c r="O53" s="158">
        <f>I53*Guide!K$167/I$56</f>
        <v>13593.540066190328</v>
      </c>
    </row>
    <row r="54" spans="1:15">
      <c r="A54" s="161" t="s">
        <v>249</v>
      </c>
      <c r="B54" s="139">
        <f>IF(Calculations!$B$41=0,B53/MAX(1,Calculations!$B$30),B53*(Calculations!$B$41/(1-(1+Calculations!$B$41)^-Calculations!$B$30)))</f>
        <v>212.53226892482306</v>
      </c>
      <c r="E54" s="126">
        <v>24</v>
      </c>
      <c r="F54" s="128">
        <v>5768.4513854840134</v>
      </c>
      <c r="G54" s="128">
        <v>8075.8319396776133</v>
      </c>
      <c r="H54" s="128">
        <v>3604.2352011865974</v>
      </c>
      <c r="I54" s="128">
        <v>14087.081009766991</v>
      </c>
      <c r="K54" s="126">
        <v>24</v>
      </c>
      <c r="L54" s="158">
        <f>F54*Guide!H$167/F$56</f>
        <v>5771.5267323906237</v>
      </c>
      <c r="M54" s="158">
        <f>G54*Guide!I$167/G$56</f>
        <v>8078.5838515292671</v>
      </c>
      <c r="N54" s="158">
        <f>H54*Guide!J$167/H$56</f>
        <v>3601.7096770401999</v>
      </c>
      <c r="O54" s="158">
        <f>I54*Guide!K$167/I$56</f>
        <v>13763.161215398008</v>
      </c>
    </row>
    <row r="55" spans="1:15" ht="15" thickBot="1">
      <c r="E55" s="126">
        <v>25</v>
      </c>
      <c r="F55" s="128">
        <v>5498.3928789099818</v>
      </c>
      <c r="G55" s="128">
        <v>7697.7500304739697</v>
      </c>
      <c r="H55" s="128">
        <v>3435.226519564992</v>
      </c>
      <c r="I55" s="128">
        <v>-33731.606796161999</v>
      </c>
      <c r="K55" s="126">
        <v>25</v>
      </c>
      <c r="L55" s="158">
        <f>F55*Guide!H$167/F$56</f>
        <v>5501.324248943547</v>
      </c>
      <c r="M55" s="158">
        <f>G55*Guide!I$167/G$56</f>
        <v>7700.3731075387414</v>
      </c>
      <c r="N55" s="158">
        <f>H55*Guide!J$167/H$56</f>
        <v>3432.819421515273</v>
      </c>
      <c r="O55" s="158">
        <f>I55*Guide!K$167/I$56</f>
        <v>-32955.978748763635</v>
      </c>
    </row>
    <row r="56" spans="1:15" ht="15.5" thickTop="1" thickBot="1">
      <c r="F56" s="157">
        <f>AVERAGE(F31:F55)/1000</f>
        <v>7.4260409388060387</v>
      </c>
      <c r="G56" s="157">
        <f t="shared" ref="G56:I56" si="0">AVERAGE(G31:G55)/1000</f>
        <v>10.396457314328455</v>
      </c>
      <c r="H56" s="157">
        <f t="shared" si="0"/>
        <v>4.1429029741160806</v>
      </c>
      <c r="I56" s="157">
        <f t="shared" si="0"/>
        <v>4.1350825140220406</v>
      </c>
      <c r="L56" s="159">
        <f>AVERAGE(L31:L55)/1000</f>
        <v>7.43</v>
      </c>
      <c r="M56" s="159">
        <f t="shared" ref="M56" si="1">AVERAGE(M31:M55)/1000</f>
        <v>10.4</v>
      </c>
      <c r="N56" s="159">
        <f t="shared" ref="N56" si="2">AVERAGE(N31:N55)/1000</f>
        <v>4.1399999999999988</v>
      </c>
      <c r="O56" s="159">
        <f t="shared" ref="O56" si="3">AVERAGE(O31:O55)/1000</f>
        <v>4.0399999999999983</v>
      </c>
    </row>
    <row r="57" spans="1:15" ht="15" thickTop="1"/>
    <row r="58" spans="1:15" ht="18">
      <c r="A58" s="178" t="s">
        <v>248</v>
      </c>
      <c r="B58" s="179"/>
      <c r="C58" s="179"/>
      <c r="D58" s="179"/>
      <c r="E58" s="179"/>
      <c r="F58" s="179"/>
      <c r="G58" s="179"/>
      <c r="H58" s="179"/>
      <c r="I58" s="179"/>
      <c r="J58" s="179"/>
      <c r="K58" s="179"/>
      <c r="L58" s="179"/>
      <c r="M58" s="179"/>
      <c r="N58" s="180"/>
    </row>
    <row r="59" spans="1:15" ht="42">
      <c r="A59" s="143" t="s">
        <v>217</v>
      </c>
      <c r="B59" s="142" t="s">
        <v>247</v>
      </c>
      <c r="C59" s="142" t="s">
        <v>246</v>
      </c>
      <c r="D59" s="142" t="s">
        <v>245</v>
      </c>
      <c r="E59" s="142" t="s">
        <v>244</v>
      </c>
      <c r="F59" s="142" t="s">
        <v>243</v>
      </c>
      <c r="G59" s="142" t="s">
        <v>242</v>
      </c>
      <c r="H59" s="142" t="s">
        <v>241</v>
      </c>
      <c r="I59" s="142" t="s">
        <v>240</v>
      </c>
      <c r="J59" s="142" t="s">
        <v>239</v>
      </c>
      <c r="K59" s="142" t="s">
        <v>238</v>
      </c>
      <c r="L59" s="142" t="s">
        <v>237</v>
      </c>
      <c r="M59" s="142" t="s">
        <v>236</v>
      </c>
      <c r="N59" s="144" t="s">
        <v>235</v>
      </c>
    </row>
    <row r="60" spans="1:15" ht="29">
      <c r="A60" s="145">
        <v>0</v>
      </c>
      <c r="B60" s="146">
        <f>--(A60&lt;=Calculations!$B$30)</f>
        <v>1</v>
      </c>
      <c r="C60" s="147">
        <f>INDEX(L30:O30,1,MATCH(Guide!$G$246,Scenarios!$B$2:$B$5,0))</f>
        <v>0</v>
      </c>
      <c r="D60" s="147">
        <f>C60*(1-Calculations!$B$29)*Calculations!$B$49*Calculations!$B$50</f>
        <v>0</v>
      </c>
      <c r="E60" s="147">
        <f>IF(B60=0,0,IF(A60=0,Calculations!$B$34,IF(A60=1,Calculations!$B$35,Calculations!$B$36)))</f>
        <v>40</v>
      </c>
      <c r="F60" s="147">
        <f>E60*Calculations!$B$40</f>
        <v>108.62532000000002</v>
      </c>
      <c r="G60" s="147">
        <f t="shared" ref="G60:G85" si="4">D60-F60</f>
        <v>-108.62532000000002</v>
      </c>
      <c r="H60" s="148">
        <f>G60/1000*Calculations!$B$43*Calculations!$B$42</f>
        <v>-4.3450128000000001</v>
      </c>
      <c r="I60" s="148">
        <f>IF(AND(A60&gt;=1,B60=1),Calculations!$B$32*Calculations!$B$42,0)</f>
        <v>0</v>
      </c>
      <c r="J60" s="148">
        <f>IF(AND(A60=0,B60=1),Calculations!$B$33*Calculations!$B$42,0)</f>
        <v>0</v>
      </c>
      <c r="K60" s="148">
        <f t="shared" ref="K60:K85" si="5">H60-I60-J60</f>
        <v>-4.3450128000000001</v>
      </c>
      <c r="L60" s="149">
        <f>1/(1+Calculations!$B$41)^A60</f>
        <v>1</v>
      </c>
      <c r="M60" s="148">
        <f t="shared" ref="M60:M85" si="6">K60*L60</f>
        <v>-4.3450128000000001</v>
      </c>
      <c r="N60" s="150" t="str">
        <f t="shared" ref="N60:N85" si="7">IF(A60=0,"t0 / initial slice",IF(A60=1,"year 1","year 2+"))</f>
        <v>t0 / initial slice</v>
      </c>
    </row>
    <row r="61" spans="1:15">
      <c r="A61" s="145">
        <v>1</v>
      </c>
      <c r="B61" s="146">
        <f>--(A61&lt;=Calculations!$B$30)</f>
        <v>1</v>
      </c>
      <c r="C61" s="147">
        <f>INDEX(L31:O31,1,MATCH(Guide!$G$246,Scenarios!$B$2:$B$5,0))</f>
        <v>645.13430902322079</v>
      </c>
      <c r="D61" s="147">
        <f>C61*(1-Calculations!$B$29)*Calculations!$B$49*Calculations!$B$50</f>
        <v>612.87759357205971</v>
      </c>
      <c r="E61" s="147">
        <f>IF(B61=0,0,IF(A61=0,Calculations!$B$34,IF(A61=1,Calculations!$B$35,Calculations!$B$36)))</f>
        <v>8</v>
      </c>
      <c r="F61" s="147">
        <f>E61*Calculations!$B$40</f>
        <v>21.725064000000003</v>
      </c>
      <c r="G61" s="147">
        <f t="shared" si="4"/>
        <v>591.15252957205973</v>
      </c>
      <c r="H61" s="148">
        <f>G61/1000*Calculations!$B$43*Calculations!$B$42</f>
        <v>23.64610118288239</v>
      </c>
      <c r="I61" s="148">
        <f>IF(AND(A61&gt;=1,B61=1),Calculations!$B$32*Calculations!$B$42,0)</f>
        <v>0</v>
      </c>
      <c r="J61" s="148">
        <f>IF(AND(A61=0,B61=1),Calculations!$B$33*Calculations!$B$42,0)</f>
        <v>0</v>
      </c>
      <c r="K61" s="148">
        <f t="shared" si="5"/>
        <v>23.64610118288239</v>
      </c>
      <c r="L61" s="149">
        <f>1/(1+Calculations!$B$41)^A61</f>
        <v>0.95238095238095233</v>
      </c>
      <c r="M61" s="148">
        <f t="shared" si="6"/>
        <v>22.520096364649895</v>
      </c>
      <c r="N61" s="150" t="str">
        <f t="shared" si="7"/>
        <v>year 1</v>
      </c>
    </row>
    <row r="62" spans="1:15">
      <c r="A62" s="145">
        <v>2</v>
      </c>
      <c r="B62" s="146">
        <f>--(A62&lt;=Calculations!$B$30)</f>
        <v>1</v>
      </c>
      <c r="C62" s="147">
        <f>INDEX(L32:O32,1,MATCH(Guide!$G$246,Scenarios!$B$2:$B$5,0))</f>
        <v>4333.4705632527584</v>
      </c>
      <c r="D62" s="147">
        <f>C62*(1-Calculations!$B$29)*Calculations!$B$49*Calculations!$B$50</f>
        <v>4116.7970350901205</v>
      </c>
      <c r="E62" s="147">
        <f>IF(B62=0,0,IF(A62=0,Calculations!$B$34,IF(A62=1,Calculations!$B$35,Calculations!$B$36)))</f>
        <v>0</v>
      </c>
      <c r="F62" s="147">
        <f>E62*Calculations!$B$40</f>
        <v>0</v>
      </c>
      <c r="G62" s="147">
        <f t="shared" si="4"/>
        <v>4116.7970350901205</v>
      </c>
      <c r="H62" s="148">
        <f>G62/1000*Calculations!$B$43*Calculations!$B$42</f>
        <v>164.6718814036048</v>
      </c>
      <c r="I62" s="148">
        <f>IF(AND(A62&gt;=1,B62=1),Calculations!$B$32*Calculations!$B$42,0)</f>
        <v>0</v>
      </c>
      <c r="J62" s="148">
        <f>IF(AND(A62=0,B62=1),Calculations!$B$33*Calculations!$B$42,0)</f>
        <v>0</v>
      </c>
      <c r="K62" s="148">
        <f t="shared" si="5"/>
        <v>164.6718814036048</v>
      </c>
      <c r="L62" s="149">
        <f>1/(1+Calculations!$B$41)^A62</f>
        <v>0.90702947845804982</v>
      </c>
      <c r="M62" s="148">
        <f t="shared" si="6"/>
        <v>149.36225070621751</v>
      </c>
      <c r="N62" s="150" t="str">
        <f t="shared" si="7"/>
        <v>year 2+</v>
      </c>
    </row>
    <row r="63" spans="1:15">
      <c r="A63" s="145">
        <v>3</v>
      </c>
      <c r="B63" s="146">
        <f>--(A63&lt;=Calculations!$B$30)</f>
        <v>1</v>
      </c>
      <c r="C63" s="147">
        <f>INDEX(L33:O33,1,MATCH(Guide!$G$246,Scenarios!$B$2:$B$5,0))</f>
        <v>12753.614371686055</v>
      </c>
      <c r="D63" s="147">
        <f>C63*(1-Calculations!$B$29)*Calculations!$B$49*Calculations!$B$50</f>
        <v>12115.933653101752</v>
      </c>
      <c r="E63" s="147">
        <f>IF(B63=0,0,IF(A63=0,Calculations!$B$34,IF(A63=1,Calculations!$B$35,Calculations!$B$36)))</f>
        <v>0</v>
      </c>
      <c r="F63" s="147">
        <f>E63*Calculations!$B$40</f>
        <v>0</v>
      </c>
      <c r="G63" s="147">
        <f t="shared" si="4"/>
        <v>12115.933653101752</v>
      </c>
      <c r="H63" s="148">
        <f>G63/1000*Calculations!$B$43*Calculations!$B$42</f>
        <v>484.63734612407006</v>
      </c>
      <c r="I63" s="148">
        <f>IF(AND(A63&gt;=1,B63=1),Calculations!$B$32*Calculations!$B$42,0)</f>
        <v>0</v>
      </c>
      <c r="J63" s="148">
        <f>IF(AND(A63=0,B63=1),Calculations!$B$33*Calculations!$B$42,0)</f>
        <v>0</v>
      </c>
      <c r="K63" s="148">
        <f t="shared" si="5"/>
        <v>484.63734612407006</v>
      </c>
      <c r="L63" s="149">
        <f>1/(1+Calculations!$B$41)^A63</f>
        <v>0.86383759853147601</v>
      </c>
      <c r="M63" s="148">
        <f t="shared" si="6"/>
        <v>418.6479612344844</v>
      </c>
      <c r="N63" s="150" t="str">
        <f t="shared" si="7"/>
        <v>year 2+</v>
      </c>
    </row>
    <row r="64" spans="1:15">
      <c r="A64" s="145">
        <v>4</v>
      </c>
      <c r="B64" s="146">
        <f>--(A64&lt;=Calculations!$B$30)</f>
        <v>1</v>
      </c>
      <c r="C64" s="147">
        <f>INDEX(L34:O34,1,MATCH(Guide!$G$246,Scenarios!$B$2:$B$5,0))</f>
        <v>17273.498912589217</v>
      </c>
      <c r="D64" s="147">
        <f>C64*(1-Calculations!$B$29)*Calculations!$B$49*Calculations!$B$50</f>
        <v>16409.823966959757</v>
      </c>
      <c r="E64" s="147">
        <f>IF(B64=0,0,IF(A64=0,Calculations!$B$34,IF(A64=1,Calculations!$B$35,Calculations!$B$36)))</f>
        <v>0</v>
      </c>
      <c r="F64" s="147">
        <f>E64*Calculations!$B$40</f>
        <v>0</v>
      </c>
      <c r="G64" s="147">
        <f t="shared" si="4"/>
        <v>16409.823966959757</v>
      </c>
      <c r="H64" s="148">
        <f>G64/1000*Calculations!$B$43*Calculations!$B$42</f>
        <v>656.39295867839019</v>
      </c>
      <c r="I64" s="148">
        <f>IF(AND(A64&gt;=1,B64=1),Calculations!$B$32*Calculations!$B$42,0)</f>
        <v>0</v>
      </c>
      <c r="J64" s="148">
        <f>IF(AND(A64=0,B64=1),Calculations!$B$33*Calculations!$B$42,0)</f>
        <v>0</v>
      </c>
      <c r="K64" s="148">
        <f t="shared" si="5"/>
        <v>656.39295867839019</v>
      </c>
      <c r="L64" s="149">
        <f>1/(1+Calculations!$B$41)^A64</f>
        <v>0.82270247479188197</v>
      </c>
      <c r="M64" s="148">
        <f t="shared" si="6"/>
        <v>540.01611154067712</v>
      </c>
      <c r="N64" s="150" t="str">
        <f t="shared" si="7"/>
        <v>year 2+</v>
      </c>
    </row>
    <row r="65" spans="1:14">
      <c r="A65" s="145">
        <v>5</v>
      </c>
      <c r="B65" s="146">
        <f>--(A65&lt;=Calculations!$B$30)</f>
        <v>1</v>
      </c>
      <c r="C65" s="147">
        <f>INDEX(L35:O35,1,MATCH(Guide!$G$246,Scenarios!$B$2:$B$5,0))</f>
        <v>18321.412329055427</v>
      </c>
      <c r="D65" s="147">
        <f>C65*(1-Calculations!$B$29)*Calculations!$B$49*Calculations!$B$50</f>
        <v>17405.341712602654</v>
      </c>
      <c r="E65" s="147">
        <f>IF(B65=0,0,IF(A65=0,Calculations!$B$34,IF(A65=1,Calculations!$B$35,Calculations!$B$36)))</f>
        <v>0</v>
      </c>
      <c r="F65" s="147">
        <f>E65*Calculations!$B$40</f>
        <v>0</v>
      </c>
      <c r="G65" s="147">
        <f t="shared" si="4"/>
        <v>17405.341712602654</v>
      </c>
      <c r="H65" s="148">
        <f>G65/1000*Calculations!$B$43*Calculations!$B$42</f>
        <v>696.21366850410618</v>
      </c>
      <c r="I65" s="148">
        <f>IF(AND(A65&gt;=1,B65=1),Calculations!$B$32*Calculations!$B$42,0)</f>
        <v>0</v>
      </c>
      <c r="J65" s="148">
        <f>IF(AND(A65=0,B65=1),Calculations!$B$33*Calculations!$B$42,0)</f>
        <v>0</v>
      </c>
      <c r="K65" s="148">
        <f t="shared" si="5"/>
        <v>696.21366850410618</v>
      </c>
      <c r="L65" s="149">
        <f>1/(1+Calculations!$B$41)^A65</f>
        <v>0.78352616646845896</v>
      </c>
      <c r="M65" s="148">
        <f t="shared" si="6"/>
        <v>545.5016267259648</v>
      </c>
      <c r="N65" s="150" t="str">
        <f t="shared" si="7"/>
        <v>year 2+</v>
      </c>
    </row>
    <row r="66" spans="1:14">
      <c r="A66" s="145">
        <v>6</v>
      </c>
      <c r="B66" s="146">
        <f>--(A66&lt;=Calculations!$B$30)</f>
        <v>1</v>
      </c>
      <c r="C66" s="147">
        <f>INDEX(L36:O36,1,MATCH(Guide!$G$246,Scenarios!$B$2:$B$5,0))</f>
        <v>17779.894883695441</v>
      </c>
      <c r="D66" s="147">
        <f>C66*(1-Calculations!$B$29)*Calculations!$B$49*Calculations!$B$50</f>
        <v>16890.900139510668</v>
      </c>
      <c r="E66" s="147">
        <f>IF(B66=0,0,IF(A66=0,Calculations!$B$34,IF(A66=1,Calculations!$B$35,Calculations!$B$36)))</f>
        <v>0</v>
      </c>
      <c r="F66" s="147">
        <f>E66*Calculations!$B$40</f>
        <v>0</v>
      </c>
      <c r="G66" s="147">
        <f t="shared" si="4"/>
        <v>16890.900139510668</v>
      </c>
      <c r="H66" s="148">
        <f>G66/1000*Calculations!$B$43*Calculations!$B$42</f>
        <v>675.63600558042663</v>
      </c>
      <c r="I66" s="148">
        <f>IF(AND(A66&gt;=1,B66=1),Calculations!$B$32*Calculations!$B$42,0)</f>
        <v>0</v>
      </c>
      <c r="J66" s="148">
        <f>IF(AND(A66=0,B66=1),Calculations!$B$33*Calculations!$B$42,0)</f>
        <v>0</v>
      </c>
      <c r="K66" s="148">
        <f t="shared" si="5"/>
        <v>675.63600558042663</v>
      </c>
      <c r="L66" s="149">
        <f>1/(1+Calculations!$B$41)^A66</f>
        <v>0.74621539663662761</v>
      </c>
      <c r="M66" s="148">
        <f t="shared" si="6"/>
        <v>504.16998988618479</v>
      </c>
      <c r="N66" s="150" t="str">
        <f t="shared" si="7"/>
        <v>year 2+</v>
      </c>
    </row>
    <row r="67" spans="1:14">
      <c r="A67" s="145">
        <v>7</v>
      </c>
      <c r="B67" s="146">
        <f>--(A67&lt;=Calculations!$B$30)</f>
        <v>1</v>
      </c>
      <c r="C67" s="147">
        <f>INDEX(L37:O37,1,MATCH(Guide!$G$246,Scenarios!$B$2:$B$5,0))</f>
        <v>16651.878302002242</v>
      </c>
      <c r="D67" s="147">
        <f>C67*(1-Calculations!$B$29)*Calculations!$B$49*Calculations!$B$50</f>
        <v>15819.284386902129</v>
      </c>
      <c r="E67" s="147">
        <f>IF(B67=0,0,IF(A67=0,Calculations!$B$34,IF(A67=1,Calculations!$B$35,Calculations!$B$36)))</f>
        <v>0</v>
      </c>
      <c r="F67" s="147">
        <f>E67*Calculations!$B$40</f>
        <v>0</v>
      </c>
      <c r="G67" s="147">
        <f t="shared" si="4"/>
        <v>15819.284386902129</v>
      </c>
      <c r="H67" s="148">
        <f>G67/1000*Calculations!$B$43*Calculations!$B$42</f>
        <v>632.77137547608515</v>
      </c>
      <c r="I67" s="148">
        <f>IF(AND(A67&gt;=1,B67=1),Calculations!$B$32*Calculations!$B$42,0)</f>
        <v>0</v>
      </c>
      <c r="J67" s="148">
        <f>IF(AND(A67=0,B67=1),Calculations!$B$33*Calculations!$B$42,0)</f>
        <v>0</v>
      </c>
      <c r="K67" s="148">
        <f t="shared" si="5"/>
        <v>632.77137547608515</v>
      </c>
      <c r="L67" s="149">
        <f>1/(1+Calculations!$B$41)^A67</f>
        <v>0.71068133013012147</v>
      </c>
      <c r="M67" s="148">
        <f t="shared" si="6"/>
        <v>449.69880279161072</v>
      </c>
      <c r="N67" s="150" t="str">
        <f t="shared" si="7"/>
        <v>year 2+</v>
      </c>
    </row>
    <row r="68" spans="1:14">
      <c r="A68" s="145">
        <v>8</v>
      </c>
      <c r="B68" s="146">
        <f>--(A68&lt;=Calculations!$B$30)</f>
        <v>1</v>
      </c>
      <c r="C68" s="147">
        <f>INDEX(L38:O38,1,MATCH(Guide!$G$246,Scenarios!$B$2:$B$5,0))</f>
        <v>15365.610760175088</v>
      </c>
      <c r="D68" s="147">
        <f>C68*(1-Calculations!$B$29)*Calculations!$B$49*Calculations!$B$50</f>
        <v>14597.330222166333</v>
      </c>
      <c r="E68" s="147">
        <f>IF(B68=0,0,IF(A68=0,Calculations!$B$34,IF(A68=1,Calculations!$B$35,Calculations!$B$36)))</f>
        <v>0</v>
      </c>
      <c r="F68" s="147">
        <f>E68*Calculations!$B$40</f>
        <v>0</v>
      </c>
      <c r="G68" s="147">
        <f t="shared" si="4"/>
        <v>14597.330222166333</v>
      </c>
      <c r="H68" s="148">
        <f>G68/1000*Calculations!$B$43*Calculations!$B$42</f>
        <v>583.89320888665327</v>
      </c>
      <c r="I68" s="148">
        <f>IF(AND(A68&gt;=1,B68=1),Calculations!$B$32*Calculations!$B$42,0)</f>
        <v>0</v>
      </c>
      <c r="J68" s="148">
        <f>IF(AND(A68=0,B68=1),Calculations!$B$33*Calculations!$B$42,0)</f>
        <v>0</v>
      </c>
      <c r="K68" s="148">
        <f t="shared" si="5"/>
        <v>583.89320888665327</v>
      </c>
      <c r="L68" s="149">
        <f>1/(1+Calculations!$B$41)^A68</f>
        <v>0.67683936202868722</v>
      </c>
      <c r="M68" s="148">
        <f t="shared" si="6"/>
        <v>395.20190699572538</v>
      </c>
      <c r="N68" s="150" t="str">
        <f t="shared" si="7"/>
        <v>year 2+</v>
      </c>
    </row>
    <row r="69" spans="1:14">
      <c r="A69" s="145">
        <v>9</v>
      </c>
      <c r="B69" s="146">
        <f>--(A69&lt;=Calculations!$B$30)</f>
        <v>1</v>
      </c>
      <c r="C69" s="147">
        <f>INDEX(L39:O39,1,MATCH(Guide!$G$246,Scenarios!$B$2:$B$5,0))</f>
        <v>-45264.891367478383</v>
      </c>
      <c r="D69" s="147">
        <f>C69*(1-Calculations!$B$29)*Calculations!$B$49*Calculations!$B$50</f>
        <v>-43001.646799104463</v>
      </c>
      <c r="E69" s="147">
        <f>IF(B69=0,0,IF(A69=0,Calculations!$B$34,IF(A69=1,Calculations!$B$35,Calculations!$B$36)))</f>
        <v>0</v>
      </c>
      <c r="F69" s="147">
        <f>E69*Calculations!$B$40</f>
        <v>0</v>
      </c>
      <c r="G69" s="147">
        <f t="shared" si="4"/>
        <v>-43001.646799104463</v>
      </c>
      <c r="H69" s="148">
        <f>G69/1000*Calculations!$B$43*Calculations!$B$42</f>
        <v>-1720.0658719641785</v>
      </c>
      <c r="I69" s="148">
        <f>IF(AND(A69&gt;=1,B69=1),Calculations!$B$32*Calculations!$B$42,0)</f>
        <v>0</v>
      </c>
      <c r="J69" s="148">
        <f>IF(AND(A69=0,B69=1),Calculations!$B$33*Calculations!$B$42,0)</f>
        <v>0</v>
      </c>
      <c r="K69" s="148">
        <f t="shared" si="5"/>
        <v>-1720.0658719641785</v>
      </c>
      <c r="L69" s="149">
        <f>1/(1+Calculations!$B$41)^A69</f>
        <v>0.64460891621779726</v>
      </c>
      <c r="M69" s="148">
        <f t="shared" si="6"/>
        <v>-1108.7697975500496</v>
      </c>
      <c r="N69" s="150" t="str">
        <f t="shared" si="7"/>
        <v>year 2+</v>
      </c>
    </row>
    <row r="70" spans="1:14">
      <c r="A70" s="145">
        <v>10</v>
      </c>
      <c r="B70" s="146">
        <f>--(A70&lt;=Calculations!$B$30)</f>
        <v>1</v>
      </c>
      <c r="C70" s="147">
        <f>INDEX(L40:O40,1,MATCH(Guide!$G$246,Scenarios!$B$2:$B$5,0))</f>
        <v>15124.593211662057</v>
      </c>
      <c r="D70" s="147">
        <f>C70*(1-Calculations!$B$29)*Calculations!$B$49*Calculations!$B$50</f>
        <v>14368.363551078954</v>
      </c>
      <c r="E70" s="147">
        <f>IF(B70=0,0,IF(A70=0,Calculations!$B$34,IF(A70=1,Calculations!$B$35,Calculations!$B$36)))</f>
        <v>0</v>
      </c>
      <c r="F70" s="147">
        <f>E70*Calculations!$B$40</f>
        <v>0</v>
      </c>
      <c r="G70" s="147">
        <f t="shared" si="4"/>
        <v>14368.363551078954</v>
      </c>
      <c r="H70" s="148">
        <f>G70/1000*Calculations!$B$43*Calculations!$B$42</f>
        <v>574.73454204315817</v>
      </c>
      <c r="I70" s="148">
        <f>IF(AND(A70&gt;=1,B70=1),Calculations!$B$32*Calculations!$B$42,0)</f>
        <v>0</v>
      </c>
      <c r="J70" s="148">
        <f>IF(AND(A70=0,B70=1),Calculations!$B$33*Calculations!$B$42,0)</f>
        <v>0</v>
      </c>
      <c r="K70" s="148">
        <f t="shared" si="5"/>
        <v>574.73454204315817</v>
      </c>
      <c r="L70" s="149">
        <f>1/(1+Calculations!$B$41)^A70</f>
        <v>0.61391325354075932</v>
      </c>
      <c r="M70" s="148">
        <f t="shared" si="6"/>
        <v>352.83715262797358</v>
      </c>
      <c r="N70" s="150" t="str">
        <f t="shared" si="7"/>
        <v>year 2+</v>
      </c>
    </row>
    <row r="71" spans="1:14">
      <c r="A71" s="145">
        <v>11</v>
      </c>
      <c r="B71" s="146">
        <f>--(A71&lt;=Calculations!$B$30)</f>
        <v>1</v>
      </c>
      <c r="C71" s="147">
        <f>INDEX(L41:O41,1,MATCH(Guide!$G$246,Scenarios!$B$2:$B$5,0))</f>
        <v>15094.113233695192</v>
      </c>
      <c r="D71" s="147">
        <f>C71*(1-Calculations!$B$29)*Calculations!$B$49*Calculations!$B$50</f>
        <v>14339.407572010432</v>
      </c>
      <c r="E71" s="147">
        <f>IF(B71=0,0,IF(A71=0,Calculations!$B$34,IF(A71=1,Calculations!$B$35,Calculations!$B$36)))</f>
        <v>0</v>
      </c>
      <c r="F71" s="147">
        <f>E71*Calculations!$B$40</f>
        <v>0</v>
      </c>
      <c r="G71" s="147">
        <f t="shared" si="4"/>
        <v>14339.407572010432</v>
      </c>
      <c r="H71" s="148">
        <f>G71/1000*Calculations!$B$43*Calculations!$B$42</f>
        <v>573.5763028804173</v>
      </c>
      <c r="I71" s="148">
        <f>IF(AND(A71&gt;=1,B71=1),Calculations!$B$32*Calculations!$B$42,0)</f>
        <v>0</v>
      </c>
      <c r="J71" s="148">
        <f>IF(AND(A71=0,B71=1),Calculations!$B$33*Calculations!$B$42,0)</f>
        <v>0</v>
      </c>
      <c r="K71" s="148">
        <f t="shared" si="5"/>
        <v>573.5763028804173</v>
      </c>
      <c r="L71" s="149">
        <f>1/(1+Calculations!$B$41)^A71</f>
        <v>0.5846792890864374</v>
      </c>
      <c r="M71" s="148">
        <f t="shared" si="6"/>
        <v>335.35818500494946</v>
      </c>
      <c r="N71" s="150" t="str">
        <f t="shared" si="7"/>
        <v>year 2+</v>
      </c>
    </row>
    <row r="72" spans="1:14">
      <c r="A72" s="145">
        <v>12</v>
      </c>
      <c r="B72" s="146">
        <f>--(A72&lt;=Calculations!$B$30)</f>
        <v>1</v>
      </c>
      <c r="C72" s="147">
        <f>INDEX(L42:O42,1,MATCH(Guide!$G$246,Scenarios!$B$2:$B$5,0))</f>
        <v>14707.262434170256</v>
      </c>
      <c r="D72" s="147">
        <f>C72*(1-Calculations!$B$29)*Calculations!$B$49*Calculations!$B$50</f>
        <v>13971.899312461743</v>
      </c>
      <c r="E72" s="147">
        <f>IF(B72=0,0,IF(A72=0,Calculations!$B$34,IF(A72=1,Calculations!$B$35,Calculations!$B$36)))</f>
        <v>0</v>
      </c>
      <c r="F72" s="147">
        <f>E72*Calculations!$B$40</f>
        <v>0</v>
      </c>
      <c r="G72" s="147">
        <f t="shared" si="4"/>
        <v>13971.899312461743</v>
      </c>
      <c r="H72" s="148">
        <f>G72/1000*Calculations!$B$43*Calculations!$B$42</f>
        <v>558.87597249846965</v>
      </c>
      <c r="I72" s="148">
        <f>IF(AND(A72&gt;=1,B72=1),Calculations!$B$32*Calculations!$B$42,0)</f>
        <v>0</v>
      </c>
      <c r="J72" s="148">
        <f>IF(AND(A72=0,B72=1),Calculations!$B$33*Calculations!$B$42,0)</f>
        <v>0</v>
      </c>
      <c r="K72" s="148">
        <f t="shared" si="5"/>
        <v>558.87597249846965</v>
      </c>
      <c r="L72" s="149">
        <f>1/(1+Calculations!$B$41)^A72</f>
        <v>0.5568374181775595</v>
      </c>
      <c r="M72" s="148">
        <f t="shared" si="6"/>
        <v>311.20305360752059</v>
      </c>
      <c r="N72" s="150" t="str">
        <f t="shared" si="7"/>
        <v>year 2+</v>
      </c>
    </row>
    <row r="73" spans="1:14">
      <c r="A73" s="145">
        <v>13</v>
      </c>
      <c r="B73" s="146">
        <f>--(A73&lt;=Calculations!$B$30)</f>
        <v>1</v>
      </c>
      <c r="C73" s="147">
        <f>INDEX(L43:O43,1,MATCH(Guide!$G$246,Scenarios!$B$2:$B$5,0))</f>
        <v>14199.32163071222</v>
      </c>
      <c r="D73" s="147">
        <f>C73*(1-Calculations!$B$29)*Calculations!$B$49*Calculations!$B$50</f>
        <v>13489.355549176609</v>
      </c>
      <c r="E73" s="147">
        <f>IF(B73=0,0,IF(A73=0,Calculations!$B$34,IF(A73=1,Calculations!$B$35,Calculations!$B$36)))</f>
        <v>0</v>
      </c>
      <c r="F73" s="147">
        <f>E73*Calculations!$B$40</f>
        <v>0</v>
      </c>
      <c r="G73" s="147">
        <f t="shared" si="4"/>
        <v>13489.355549176609</v>
      </c>
      <c r="H73" s="148">
        <f>G73/1000*Calculations!$B$43*Calculations!$B$42</f>
        <v>539.57422196706443</v>
      </c>
      <c r="I73" s="148">
        <f>IF(AND(A73&gt;=1,B73=1),Calculations!$B$32*Calculations!$B$42,0)</f>
        <v>0</v>
      </c>
      <c r="J73" s="148">
        <f>IF(AND(A73=0,B73=1),Calculations!$B$33*Calculations!$B$42,0)</f>
        <v>0</v>
      </c>
      <c r="K73" s="148">
        <f t="shared" si="5"/>
        <v>539.57422196706443</v>
      </c>
      <c r="L73" s="149">
        <f>1/(1+Calculations!$B$41)^A73</f>
        <v>0.53032135064529462</v>
      </c>
      <c r="M73" s="148">
        <f t="shared" si="6"/>
        <v>286.14773016695761</v>
      </c>
      <c r="N73" s="150" t="str">
        <f t="shared" si="7"/>
        <v>year 2+</v>
      </c>
    </row>
    <row r="74" spans="1:14">
      <c r="A74" s="145">
        <v>14</v>
      </c>
      <c r="B74" s="146">
        <f>--(A74&lt;=Calculations!$B$30)</f>
        <v>1</v>
      </c>
      <c r="C74" s="147">
        <f>INDEX(L44:O44,1,MATCH(Guide!$G$246,Scenarios!$B$2:$B$5,0))</f>
        <v>13613.406380594717</v>
      </c>
      <c r="D74" s="147">
        <f>C74*(1-Calculations!$B$29)*Calculations!$B$49*Calculations!$B$50</f>
        <v>12932.736061564981</v>
      </c>
      <c r="E74" s="147">
        <f>IF(B74=0,0,IF(A74=0,Calculations!$B$34,IF(A74=1,Calculations!$B$35,Calculations!$B$36)))</f>
        <v>0</v>
      </c>
      <c r="F74" s="147">
        <f>E74*Calculations!$B$40</f>
        <v>0</v>
      </c>
      <c r="G74" s="147">
        <f t="shared" si="4"/>
        <v>12932.736061564981</v>
      </c>
      <c r="H74" s="148">
        <f>G74/1000*Calculations!$B$43*Calculations!$B$42</f>
        <v>517.30944246259924</v>
      </c>
      <c r="I74" s="148">
        <f>IF(AND(A74&gt;=1,B74=1),Calculations!$B$32*Calculations!$B$42,0)</f>
        <v>0</v>
      </c>
      <c r="J74" s="148">
        <f>IF(AND(A74=0,B74=1),Calculations!$B$33*Calculations!$B$42,0)</f>
        <v>0</v>
      </c>
      <c r="K74" s="148">
        <f t="shared" si="5"/>
        <v>517.30944246259924</v>
      </c>
      <c r="L74" s="149">
        <f>1/(1+Calculations!$B$41)^A74</f>
        <v>0.50506795299551888</v>
      </c>
      <c r="M74" s="148">
        <f t="shared" si="6"/>
        <v>261.27642116983816</v>
      </c>
      <c r="N74" s="150" t="str">
        <f t="shared" si="7"/>
        <v>year 2+</v>
      </c>
    </row>
    <row r="75" spans="1:14">
      <c r="A75" s="145">
        <v>15</v>
      </c>
      <c r="B75" s="146">
        <f>--(A75&lt;=Calculations!$B$30)</f>
        <v>1</v>
      </c>
      <c r="C75" s="147">
        <f>INDEX(L45:O45,1,MATCH(Guide!$G$246,Scenarios!$B$2:$B$5,0))</f>
        <v>-50737.768190621115</v>
      </c>
      <c r="D75" s="147">
        <f>C75*(1-Calculations!$B$29)*Calculations!$B$49*Calculations!$B$50</f>
        <v>-48200.879781090058</v>
      </c>
      <c r="E75" s="147">
        <f>IF(B75=0,0,IF(A75=0,Calculations!$B$34,IF(A75=1,Calculations!$B$35,Calculations!$B$36)))</f>
        <v>0</v>
      </c>
      <c r="F75" s="147">
        <f>E75*Calculations!$B$40</f>
        <v>0</v>
      </c>
      <c r="G75" s="147">
        <f t="shared" si="4"/>
        <v>-48200.879781090058</v>
      </c>
      <c r="H75" s="148">
        <f>G75/1000*Calculations!$B$43*Calculations!$B$42</f>
        <v>-1928.0351912436024</v>
      </c>
      <c r="I75" s="148">
        <f>IF(AND(A75&gt;=1,B75=1),Calculations!$B$32*Calculations!$B$42,0)</f>
        <v>0</v>
      </c>
      <c r="J75" s="148">
        <f>IF(AND(A75=0,B75=1),Calculations!$B$33*Calculations!$B$42,0)</f>
        <v>0</v>
      </c>
      <c r="K75" s="148">
        <f t="shared" si="5"/>
        <v>-1928.0351912436024</v>
      </c>
      <c r="L75" s="149">
        <f>1/(1+Calculations!$B$41)^A75</f>
        <v>0.48101709809097021</v>
      </c>
      <c r="M75" s="148">
        <f t="shared" si="6"/>
        <v>-927.41789270926643</v>
      </c>
      <c r="N75" s="150" t="str">
        <f t="shared" si="7"/>
        <v>year 2+</v>
      </c>
    </row>
    <row r="76" spans="1:14">
      <c r="A76" s="145">
        <v>16</v>
      </c>
      <c r="B76" s="146">
        <f>--(A76&lt;=Calculations!$B$30)</f>
        <v>1</v>
      </c>
      <c r="C76" s="147">
        <f>INDEX(L46:O46,1,MATCH(Guide!$G$246,Scenarios!$B$2:$B$5,0))</f>
        <v>13149.919773235526</v>
      </c>
      <c r="D76" s="147">
        <f>C76*(1-Calculations!$B$29)*Calculations!$B$49*Calculations!$B$50</f>
        <v>12492.42378457375</v>
      </c>
      <c r="E76" s="147">
        <f>IF(B76=0,0,IF(A76=0,Calculations!$B$34,IF(A76=1,Calculations!$B$35,Calculations!$B$36)))</f>
        <v>0</v>
      </c>
      <c r="F76" s="147">
        <f>E76*Calculations!$B$40</f>
        <v>0</v>
      </c>
      <c r="G76" s="147">
        <f t="shared" si="4"/>
        <v>12492.42378457375</v>
      </c>
      <c r="H76" s="148">
        <f>G76/1000*Calculations!$B$43*Calculations!$B$42</f>
        <v>499.69695138295003</v>
      </c>
      <c r="I76" s="148">
        <f>IF(AND(A76&gt;=1,B76=1),Calculations!$B$32*Calculations!$B$42,0)</f>
        <v>0</v>
      </c>
      <c r="J76" s="148">
        <f>IF(AND(A76=0,B76=1),Calculations!$B$33*Calculations!$B$42,0)</f>
        <v>0</v>
      </c>
      <c r="K76" s="148">
        <f t="shared" si="5"/>
        <v>499.69695138295003</v>
      </c>
      <c r="L76" s="149">
        <f>1/(1+Calculations!$B$41)^A76</f>
        <v>0.45811152199140021</v>
      </c>
      <c r="M76" s="148">
        <f t="shared" si="6"/>
        <v>228.91693093250595</v>
      </c>
      <c r="N76" s="150" t="str">
        <f t="shared" si="7"/>
        <v>year 2+</v>
      </c>
    </row>
    <row r="77" spans="1:14">
      <c r="A77" s="145">
        <v>17</v>
      </c>
      <c r="B77" s="146">
        <f>--(A77&lt;=Calculations!$B$30)</f>
        <v>1</v>
      </c>
      <c r="C77" s="147">
        <f>INDEX(L47:O47,1,MATCH(Guide!$G$246,Scenarios!$B$2:$B$5,0))</f>
        <v>13652.945909322076</v>
      </c>
      <c r="D77" s="147">
        <f>C77*(1-Calculations!$B$29)*Calculations!$B$49*Calculations!$B$50</f>
        <v>12970.298613855972</v>
      </c>
      <c r="E77" s="147">
        <f>IF(B77=0,0,IF(A77=0,Calculations!$B$34,IF(A77=1,Calculations!$B$35,Calculations!$B$36)))</f>
        <v>0</v>
      </c>
      <c r="F77" s="147">
        <f>E77*Calculations!$B$40</f>
        <v>0</v>
      </c>
      <c r="G77" s="147">
        <f t="shared" si="4"/>
        <v>12970.298613855972</v>
      </c>
      <c r="H77" s="148">
        <f>G77/1000*Calculations!$B$43*Calculations!$B$42</f>
        <v>518.81194455423883</v>
      </c>
      <c r="I77" s="148">
        <f>IF(AND(A77&gt;=1,B77=1),Calculations!$B$32*Calculations!$B$42,0)</f>
        <v>0</v>
      </c>
      <c r="J77" s="148">
        <f>IF(AND(A77=0,B77=1),Calculations!$B$33*Calculations!$B$42,0)</f>
        <v>0</v>
      </c>
      <c r="K77" s="148">
        <f t="shared" si="5"/>
        <v>518.81194455423883</v>
      </c>
      <c r="L77" s="149">
        <f>1/(1+Calculations!$B$41)^A77</f>
        <v>0.43629668761085727</v>
      </c>
      <c r="M77" s="148">
        <f t="shared" si="6"/>
        <v>226.35593290196215</v>
      </c>
      <c r="N77" s="150" t="str">
        <f t="shared" si="7"/>
        <v>year 2+</v>
      </c>
    </row>
    <row r="78" spans="1:14">
      <c r="A78" s="145">
        <v>18</v>
      </c>
      <c r="B78" s="146">
        <f>--(A78&lt;=Calculations!$B$30)</f>
        <v>1</v>
      </c>
      <c r="C78" s="147">
        <f>INDEX(L48:O48,1,MATCH(Guide!$G$246,Scenarios!$B$2:$B$5,0))</f>
        <v>13711.454106078001</v>
      </c>
      <c r="D78" s="147">
        <f>C78*(1-Calculations!$B$29)*Calculations!$B$49*Calculations!$B$50</f>
        <v>13025.8814007741</v>
      </c>
      <c r="E78" s="147">
        <f>IF(B78=0,0,IF(A78=0,Calculations!$B$34,IF(A78=1,Calculations!$B$35,Calculations!$B$36)))</f>
        <v>0</v>
      </c>
      <c r="F78" s="147">
        <f>E78*Calculations!$B$40</f>
        <v>0</v>
      </c>
      <c r="G78" s="147">
        <f t="shared" si="4"/>
        <v>13025.8814007741</v>
      </c>
      <c r="H78" s="148">
        <f>G78/1000*Calculations!$B$43*Calculations!$B$42</f>
        <v>521.03525603096398</v>
      </c>
      <c r="I78" s="148">
        <f>IF(AND(A78&gt;=1,B78=1),Calculations!$B$32*Calculations!$B$42,0)</f>
        <v>0</v>
      </c>
      <c r="J78" s="148">
        <f>IF(AND(A78=0,B78=1),Calculations!$B$33*Calculations!$B$42,0)</f>
        <v>0</v>
      </c>
      <c r="K78" s="148">
        <f t="shared" si="5"/>
        <v>521.03525603096398</v>
      </c>
      <c r="L78" s="149">
        <f>1/(1+Calculations!$B$41)^A78</f>
        <v>0.41552065486748313</v>
      </c>
      <c r="M78" s="148">
        <f t="shared" si="6"/>
        <v>216.50091079503289</v>
      </c>
      <c r="N78" s="150" t="str">
        <f t="shared" si="7"/>
        <v>year 2+</v>
      </c>
    </row>
    <row r="79" spans="1:14">
      <c r="A79" s="145">
        <v>19</v>
      </c>
      <c r="B79" s="146">
        <f>--(A79&lt;=Calculations!$B$30)</f>
        <v>1</v>
      </c>
      <c r="C79" s="147">
        <f>INDEX(L49:O49,1,MATCH(Guide!$G$246,Scenarios!$B$2:$B$5,0))</f>
        <v>13564.568187176827</v>
      </c>
      <c r="D79" s="147">
        <f>C79*(1-Calculations!$B$29)*Calculations!$B$49*Calculations!$B$50</f>
        <v>12886.339777817984</v>
      </c>
      <c r="E79" s="147">
        <f>IF(B79=0,0,IF(A79=0,Calculations!$B$34,IF(A79=1,Calculations!$B$35,Calculations!$B$36)))</f>
        <v>0</v>
      </c>
      <c r="F79" s="147">
        <f>E79*Calculations!$B$40</f>
        <v>0</v>
      </c>
      <c r="G79" s="147">
        <f t="shared" si="4"/>
        <v>12886.339777817984</v>
      </c>
      <c r="H79" s="148">
        <f>G79/1000*Calculations!$B$43*Calculations!$B$42</f>
        <v>515.45359111271932</v>
      </c>
      <c r="I79" s="148">
        <f>IF(AND(A79&gt;=1,B79=1),Calculations!$B$32*Calculations!$B$42,0)</f>
        <v>0</v>
      </c>
      <c r="J79" s="148">
        <f>IF(AND(A79=0,B79=1),Calculations!$B$33*Calculations!$B$42,0)</f>
        <v>0</v>
      </c>
      <c r="K79" s="148">
        <f t="shared" si="5"/>
        <v>515.45359111271932</v>
      </c>
      <c r="L79" s="149">
        <f>1/(1+Calculations!$B$41)^A79</f>
        <v>0.39573395701665059</v>
      </c>
      <c r="M79" s="148">
        <f t="shared" si="6"/>
        <v>203.98248926947906</v>
      </c>
      <c r="N79" s="150" t="str">
        <f t="shared" si="7"/>
        <v>year 2+</v>
      </c>
    </row>
    <row r="80" spans="1:14">
      <c r="A80" s="145">
        <v>20</v>
      </c>
      <c r="B80" s="146">
        <f>--(A80&lt;=Calculations!$B$30)</f>
        <v>1</v>
      </c>
      <c r="C80" s="147">
        <f>INDEX(L50:O50,1,MATCH(Guide!$G$246,Scenarios!$B$2:$B$5,0))</f>
        <v>13265.432734152782</v>
      </c>
      <c r="D80" s="147">
        <f>C80*(1-Calculations!$B$29)*Calculations!$B$49*Calculations!$B$50</f>
        <v>12602.161097445143</v>
      </c>
      <c r="E80" s="147">
        <f>IF(B80=0,0,IF(A80=0,Calculations!$B$34,IF(A80=1,Calculations!$B$35,Calculations!$B$36)))</f>
        <v>0</v>
      </c>
      <c r="F80" s="147">
        <f>E80*Calculations!$B$40</f>
        <v>0</v>
      </c>
      <c r="G80" s="147">
        <f t="shared" si="4"/>
        <v>12602.161097445143</v>
      </c>
      <c r="H80" s="148">
        <f>G80/1000*Calculations!$B$43*Calculations!$B$42</f>
        <v>504.08644389780579</v>
      </c>
      <c r="I80" s="148">
        <f>IF(AND(A80&gt;=1,B80=1),Calculations!$B$32*Calculations!$B$42,0)</f>
        <v>0</v>
      </c>
      <c r="J80" s="148">
        <f>IF(AND(A80=0,B80=1),Calculations!$B$33*Calculations!$B$42,0)</f>
        <v>0</v>
      </c>
      <c r="K80" s="148">
        <f t="shared" si="5"/>
        <v>504.08644389780579</v>
      </c>
      <c r="L80" s="149">
        <f>1/(1+Calculations!$B$41)^A80</f>
        <v>0.37688948287300061</v>
      </c>
      <c r="M80" s="148">
        <f t="shared" si="6"/>
        <v>189.98487916393387</v>
      </c>
      <c r="N80" s="150" t="str">
        <f t="shared" si="7"/>
        <v>year 2+</v>
      </c>
    </row>
    <row r="81" spans="1:14">
      <c r="A81" s="145">
        <v>21</v>
      </c>
      <c r="B81" s="146">
        <f>--(A81&lt;=Calculations!$B$30)</f>
        <v>1</v>
      </c>
      <c r="C81" s="147">
        <f>INDEX(L51:O51,1,MATCH(Guide!$G$246,Scenarios!$B$2:$B$5,0))</f>
        <v>-53544.966513731895</v>
      </c>
      <c r="D81" s="147">
        <f>C81*(1-Calculations!$B$29)*Calculations!$B$49*Calculations!$B$50</f>
        <v>-50867.718188045299</v>
      </c>
      <c r="E81" s="147">
        <f>IF(B81=0,0,IF(A81=0,Calculations!$B$34,IF(A81=1,Calculations!$B$35,Calculations!$B$36)))</f>
        <v>0</v>
      </c>
      <c r="F81" s="147">
        <f>E81*Calculations!$B$40</f>
        <v>0</v>
      </c>
      <c r="G81" s="147">
        <f t="shared" si="4"/>
        <v>-50867.718188045299</v>
      </c>
      <c r="H81" s="148">
        <f>G81/1000*Calculations!$B$43*Calculations!$B$42</f>
        <v>-2034.7087275218121</v>
      </c>
      <c r="I81" s="148">
        <f>IF(AND(A81&gt;=1,B81=1),Calculations!$B$32*Calculations!$B$42,0)</f>
        <v>0</v>
      </c>
      <c r="J81" s="148">
        <f>IF(AND(A81=0,B81=1),Calculations!$B$33*Calculations!$B$42,0)</f>
        <v>0</v>
      </c>
      <c r="K81" s="148">
        <f t="shared" si="5"/>
        <v>-2034.7087275218121</v>
      </c>
      <c r="L81" s="149">
        <f>1/(1+Calculations!$B$41)^A81</f>
        <v>0.35894236464095297</v>
      </c>
      <c r="M81" s="148">
        <f t="shared" si="6"/>
        <v>-730.34316201226375</v>
      </c>
      <c r="N81" s="150" t="str">
        <f t="shared" si="7"/>
        <v>year 2+</v>
      </c>
    </row>
    <row r="82" spans="1:14">
      <c r="A82" s="145">
        <v>22</v>
      </c>
      <c r="B82" s="146">
        <f>--(A82&lt;=Calculations!$B$30)</f>
        <v>1</v>
      </c>
      <c r="C82" s="147">
        <f>INDEX(L52:O52,1,MATCH(Guide!$G$246,Scenarios!$B$2:$B$5,0))</f>
        <v>12939.371506727561</v>
      </c>
      <c r="D82" s="147">
        <f>C82*(1-Calculations!$B$29)*Calculations!$B$49*Calculations!$B$50</f>
        <v>12292.402931391181</v>
      </c>
      <c r="E82" s="147">
        <f>IF(B82=0,0,IF(A82=0,Calculations!$B$34,IF(A82=1,Calculations!$B$35,Calculations!$B$36)))</f>
        <v>0</v>
      </c>
      <c r="F82" s="147">
        <f>E82*Calculations!$B$40</f>
        <v>0</v>
      </c>
      <c r="G82" s="147">
        <f t="shared" si="4"/>
        <v>12292.402931391181</v>
      </c>
      <c r="H82" s="148">
        <f>G82/1000*Calculations!$B$43*Calculations!$B$42</f>
        <v>491.69611725564727</v>
      </c>
      <c r="I82" s="148">
        <f>IF(AND(A82&gt;=1,B82=1),Calculations!$B$32*Calculations!$B$42,0)</f>
        <v>0</v>
      </c>
      <c r="J82" s="148">
        <f>IF(AND(A82=0,B82=1),Calculations!$B$33*Calculations!$B$42,0)</f>
        <v>0</v>
      </c>
      <c r="K82" s="148">
        <f t="shared" si="5"/>
        <v>491.69611725564727</v>
      </c>
      <c r="L82" s="149">
        <f>1/(1+Calculations!$B$41)^A82</f>
        <v>0.3418498710866219</v>
      </c>
      <c r="M82" s="148">
        <f t="shared" si="6"/>
        <v>168.08625429763555</v>
      </c>
      <c r="N82" s="150" t="str">
        <f t="shared" si="7"/>
        <v>year 2+</v>
      </c>
    </row>
    <row r="83" spans="1:14">
      <c r="A83" s="145">
        <v>23</v>
      </c>
      <c r="B83" s="146">
        <f>--(A83&lt;=Calculations!$B$30)</f>
        <v>1</v>
      </c>
      <c r="C83" s="147">
        <f>INDEX(L53:O53,1,MATCH(Guide!$G$246,Scenarios!$B$2:$B$5,0))</f>
        <v>13593.540066190328</v>
      </c>
      <c r="D83" s="147">
        <f>C83*(1-Calculations!$B$29)*Calculations!$B$49*Calculations!$B$50</f>
        <v>12913.863062880811</v>
      </c>
      <c r="E83" s="147">
        <f>IF(B83=0,0,IF(A83=0,Calculations!$B$34,IF(A83=1,Calculations!$B$35,Calculations!$B$36)))</f>
        <v>0</v>
      </c>
      <c r="F83" s="147">
        <f>E83*Calculations!$B$40</f>
        <v>0</v>
      </c>
      <c r="G83" s="147">
        <f t="shared" si="4"/>
        <v>12913.863062880811</v>
      </c>
      <c r="H83" s="148">
        <f>G83/1000*Calculations!$B$43*Calculations!$B$42</f>
        <v>516.55452251523241</v>
      </c>
      <c r="I83" s="148">
        <f>IF(AND(A83&gt;=1,B83=1),Calculations!$B$32*Calculations!$B$42,0)</f>
        <v>0</v>
      </c>
      <c r="J83" s="148">
        <f>IF(AND(A83=0,B83=1),Calculations!$B$33*Calculations!$B$42,0)</f>
        <v>0</v>
      </c>
      <c r="K83" s="148">
        <f t="shared" si="5"/>
        <v>516.55452251523241</v>
      </c>
      <c r="L83" s="149">
        <f>1/(1+Calculations!$B$41)^A83</f>
        <v>0.32557130579678267</v>
      </c>
      <c r="M83" s="148">
        <f t="shared" si="6"/>
        <v>168.1753304105178</v>
      </c>
      <c r="N83" s="150" t="str">
        <f t="shared" si="7"/>
        <v>year 2+</v>
      </c>
    </row>
    <row r="84" spans="1:14">
      <c r="A84" s="145">
        <v>24</v>
      </c>
      <c r="B84" s="146">
        <f>--(A84&lt;=Calculations!$B$30)</f>
        <v>1</v>
      </c>
      <c r="C84" s="147">
        <f>INDEX(L54:O54,1,MATCH(Guide!$G$246,Scenarios!$B$2:$B$5,0))</f>
        <v>13763.161215398008</v>
      </c>
      <c r="D84" s="147">
        <f>C84*(1-Calculations!$B$29)*Calculations!$B$49*Calculations!$B$50</f>
        <v>13075.003154628106</v>
      </c>
      <c r="E84" s="147">
        <f>IF(B84=0,0,IF(A84=0,Calculations!$B$34,IF(A84=1,Calculations!$B$35,Calculations!$B$36)))</f>
        <v>0</v>
      </c>
      <c r="F84" s="147">
        <f>E84*Calculations!$B$40</f>
        <v>0</v>
      </c>
      <c r="G84" s="147">
        <f t="shared" si="4"/>
        <v>13075.003154628106</v>
      </c>
      <c r="H84" s="148">
        <f>G84/1000*Calculations!$B$43*Calculations!$B$42</f>
        <v>523.00012618512426</v>
      </c>
      <c r="I84" s="148">
        <f>IF(AND(A84&gt;=1,B84=1),Calculations!$B$32*Calculations!$B$42,0)</f>
        <v>0</v>
      </c>
      <c r="J84" s="148">
        <f>IF(AND(A84=0,B84=1),Calculations!$B$33*Calculations!$B$42,0)</f>
        <v>0</v>
      </c>
      <c r="K84" s="148">
        <f t="shared" si="5"/>
        <v>523.00012618512426</v>
      </c>
      <c r="L84" s="149">
        <f>1/(1+Calculations!$B$41)^A84</f>
        <v>0.31006791028265024</v>
      </c>
      <c r="M84" s="148">
        <f t="shared" si="6"/>
        <v>162.16555620378386</v>
      </c>
      <c r="N84" s="150" t="str">
        <f t="shared" si="7"/>
        <v>year 2+</v>
      </c>
    </row>
    <row r="85" spans="1:14">
      <c r="A85" s="151">
        <v>25</v>
      </c>
      <c r="B85" s="152">
        <f>--(A85&lt;=Calculations!$B$30)</f>
        <v>1</v>
      </c>
      <c r="C85" s="147">
        <f>INDEX(L55:O55,1,MATCH(Guide!$G$246,Scenarios!$B$2:$B$5,0))</f>
        <v>-32955.978748763635</v>
      </c>
      <c r="D85" s="153">
        <f>C85*(1-Calculations!$B$29)*Calculations!$B$49*Calculations!$B$50</f>
        <v>-31308.179811325452</v>
      </c>
      <c r="E85" s="153">
        <f>IF(B85=0,0,IF(A85=0,Calculations!$B$34,IF(A85=1,Calculations!$B$35,Calculations!$B$36)))</f>
        <v>0</v>
      </c>
      <c r="F85" s="153">
        <f>E85*Calculations!$B$40</f>
        <v>0</v>
      </c>
      <c r="G85" s="153">
        <f t="shared" si="4"/>
        <v>-31308.179811325452</v>
      </c>
      <c r="H85" s="154">
        <f>G85/1000*Calculations!$B$43*Calculations!$B$42</f>
        <v>-1252.3271924530181</v>
      </c>
      <c r="I85" s="154">
        <f>IF(AND(A85&gt;=1,B85=1),Calculations!$B$32*Calculations!$B$42,0)</f>
        <v>0</v>
      </c>
      <c r="J85" s="154">
        <f>IF(AND(A85=0,B85=1),Calculations!$B$33*Calculations!$B$42,0)</f>
        <v>0</v>
      </c>
      <c r="K85" s="154">
        <f t="shared" si="5"/>
        <v>-1252.3271924530181</v>
      </c>
      <c r="L85" s="155">
        <f>1/(1+Calculations!$B$41)^A85</f>
        <v>0.29530277169776209</v>
      </c>
      <c r="M85" s="154">
        <f t="shared" si="6"/>
        <v>-369.81569100385298</v>
      </c>
      <c r="N85" s="156" t="str">
        <f t="shared" si="7"/>
        <v>year 2+</v>
      </c>
    </row>
    <row r="109" spans="1:2" ht="20" thickBot="1">
      <c r="A109" s="39" t="s">
        <v>4</v>
      </c>
    </row>
    <row r="110" spans="1:2" ht="15" thickTop="1"/>
    <row r="111" spans="1:2">
      <c r="A111" s="110" t="s">
        <v>209</v>
      </c>
      <c r="B111" s="112">
        <f>B12</f>
        <v>0.05</v>
      </c>
    </row>
    <row r="112" spans="1:2">
      <c r="A112" s="115" t="s">
        <v>210</v>
      </c>
      <c r="B112" s="114">
        <f>B13</f>
        <v>25</v>
      </c>
    </row>
    <row r="113" spans="1:2">
      <c r="A113" s="115" t="s">
        <v>257</v>
      </c>
      <c r="B113" s="21">
        <f>HLOOKUP(Guide!$G$246,Guide!$H$194:$K$195,2,FALSE)*HLOOKUP(Guide!$J$246,Scenarios!A10:$C$11,2,FALSE)</f>
        <v>4500</v>
      </c>
    </row>
    <row r="114" spans="1:2">
      <c r="A114" s="115" t="s">
        <v>250</v>
      </c>
      <c r="B114" s="162">
        <f>Guide!H116</f>
        <v>25</v>
      </c>
    </row>
    <row r="115" spans="1:2">
      <c r="A115" s="115" t="s">
        <v>258</v>
      </c>
      <c r="B115" s="162">
        <f>Guide!H115/Guide!G248</f>
        <v>10000</v>
      </c>
    </row>
    <row r="116" spans="1:2">
      <c r="A116" s="115"/>
      <c r="B116" s="114"/>
    </row>
    <row r="117" spans="1:2">
      <c r="A117" s="115" t="s">
        <v>251</v>
      </c>
      <c r="B117" s="163">
        <f>B113</f>
        <v>4500</v>
      </c>
    </row>
    <row r="118" spans="1:2">
      <c r="A118" s="115" t="s">
        <v>253</v>
      </c>
      <c r="B118" s="164">
        <f>B115</f>
        <v>10000</v>
      </c>
    </row>
    <row r="119" spans="1:2">
      <c r="A119" s="115" t="s">
        <v>252</v>
      </c>
      <c r="B119" s="163" cm="1">
        <f t="array" aca="1" ref="B119" ca="1">SUMPRODUCT(B114/(1+$B$111)^(ROW(INDIRECT("1:"&amp;$B$112))))</f>
        <v>352.3486141511188</v>
      </c>
    </row>
    <row r="120" spans="1:2">
      <c r="A120" s="115"/>
      <c r="B120" s="114"/>
    </row>
    <row r="121" spans="1:2">
      <c r="A121" s="115" t="s">
        <v>256</v>
      </c>
      <c r="B121" s="163">
        <f>B113 * ($B$111 / (1 - (1+$B$111)^-$B$112))</f>
        <v>319.28605784653331</v>
      </c>
    </row>
    <row r="122" spans="1:2">
      <c r="A122" s="115" t="s">
        <v>254</v>
      </c>
      <c r="B122" s="163">
        <f ca="1">B119 * ($B$111 / (1 - (1+$B$111)^-$B$112))</f>
        <v>24.999999999999989</v>
      </c>
    </row>
    <row r="123" spans="1:2">
      <c r="A123" s="115" t="s">
        <v>255</v>
      </c>
      <c r="B123" s="163">
        <f>B118 * ($B$111 / (1 - (1+$B$111)^-$B$112))</f>
        <v>709.52457299229627</v>
      </c>
    </row>
    <row r="124" spans="1:2">
      <c r="A124" s="116"/>
      <c r="B124" s="165">
        <f ca="1">IF(Guide!$G$251="Included",B121-B122-B123,0)</f>
        <v>-415.23851514576296</v>
      </c>
    </row>
    <row r="128" spans="1:2" ht="20" thickBot="1">
      <c r="A128" s="39" t="s">
        <v>259</v>
      </c>
    </row>
    <row r="129" spans="1:15" ht="29.5" thickTop="1">
      <c r="A129" s="137" t="s">
        <v>232</v>
      </c>
      <c r="B129">
        <v>25</v>
      </c>
      <c r="E129" s="126" t="s">
        <v>217</v>
      </c>
      <c r="F129" s="127" t="str">
        <f>'[2]Planting config'!$G$13</f>
        <v>Carbon</v>
      </c>
      <c r="G129" s="127" t="str">
        <f>'[2]Planting config'!$H$13</f>
        <v>Carbon &amp; co-benefits</v>
      </c>
      <c r="H129" s="127" t="str">
        <f>'[2]Planting config'!$I$13</f>
        <v>Biodiversity</v>
      </c>
      <c r="I129" s="127" t="str">
        <f>'[2]Planting config'!$J$13</f>
        <v>Harvested</v>
      </c>
      <c r="K129" s="126" t="s">
        <v>217</v>
      </c>
      <c r="L129" s="127" t="str">
        <f>'[2]Planting config'!$G$13</f>
        <v>Carbon</v>
      </c>
      <c r="M129" s="127" t="str">
        <f>'[2]Planting config'!$H$13</f>
        <v>Carbon &amp; co-benefits</v>
      </c>
      <c r="N129" s="127" t="str">
        <f>'[2]Planting config'!$I$13</f>
        <v>Biodiversity</v>
      </c>
      <c r="O129" s="127" t="str">
        <f>'[2]Planting config'!$J$13</f>
        <v>Harvested</v>
      </c>
    </row>
    <row r="130" spans="1:15">
      <c r="A130" s="129" t="s">
        <v>209</v>
      </c>
      <c r="B130" s="141">
        <f>$B$12</f>
        <v>0.05</v>
      </c>
      <c r="E130" s="126">
        <v>0</v>
      </c>
      <c r="F130" s="128">
        <v>0</v>
      </c>
      <c r="G130" s="128">
        <v>0</v>
      </c>
      <c r="H130" s="128">
        <v>0</v>
      </c>
      <c r="I130" s="128">
        <v>0</v>
      </c>
      <c r="K130" s="126">
        <v>0</v>
      </c>
      <c r="L130" s="158">
        <f>IFERROR(F130*Guide!H$201/F$156,0)</f>
        <v>0</v>
      </c>
      <c r="M130" s="158">
        <f>IFERROR(G130*Guide!I$201/G$156,0)</f>
        <v>0</v>
      </c>
      <c r="N130" s="158">
        <f>IFERROR(H130*Guide!J$201/H$156,0)</f>
        <v>0</v>
      </c>
      <c r="O130" s="158">
        <f>IFERROR(I130*Guide!K$201/I$156,0)</f>
        <v>0</v>
      </c>
    </row>
    <row r="131" spans="1:15">
      <c r="A131" s="169" t="s">
        <v>277</v>
      </c>
      <c r="B131" s="173" t="b">
        <f>IF(Guide!$G$252="Included",TRUE,FALSE)</f>
        <v>1</v>
      </c>
      <c r="E131" s="126">
        <v>1</v>
      </c>
      <c r="F131" s="128">
        <v>0</v>
      </c>
      <c r="G131" s="128">
        <v>0</v>
      </c>
      <c r="H131" s="128">
        <v>0</v>
      </c>
      <c r="I131" s="128">
        <v>0</v>
      </c>
      <c r="K131" s="126">
        <v>1</v>
      </c>
      <c r="L131" s="158">
        <f>IFERROR(F131*Guide!H$201/F$156,0)</f>
        <v>0</v>
      </c>
      <c r="M131" s="158">
        <f>IFERROR(G131*Guide!I$201/G$156,0)</f>
        <v>0</v>
      </c>
      <c r="N131" s="158">
        <f>IFERROR(H131*Guide!J$201/H$156,0)</f>
        <v>0</v>
      </c>
      <c r="O131" s="158">
        <f>IFERROR(I131*Guide!K$201/I$156,0)</f>
        <v>0</v>
      </c>
    </row>
    <row r="132" spans="1:15">
      <c r="E132" s="126">
        <v>2</v>
      </c>
      <c r="F132" s="128">
        <v>0</v>
      </c>
      <c r="G132" s="128">
        <v>0</v>
      </c>
      <c r="H132" s="128">
        <v>0</v>
      </c>
      <c r="I132" s="128">
        <v>0</v>
      </c>
      <c r="K132" s="126">
        <v>2</v>
      </c>
      <c r="L132" s="158">
        <f>IFERROR(F132*Guide!H$201/F$156,0)</f>
        <v>0</v>
      </c>
      <c r="M132" s="158">
        <f>IFERROR(G132*Guide!I$201/G$156,0)</f>
        <v>0</v>
      </c>
      <c r="N132" s="158">
        <f>IFERROR(H132*Guide!J$201/H$156,0)</f>
        <v>0</v>
      </c>
      <c r="O132" s="158">
        <f>IFERROR(I132*Guide!K$201/I$156,0)</f>
        <v>0</v>
      </c>
    </row>
    <row r="133" spans="1:15">
      <c r="A133" s="169" t="s">
        <v>272</v>
      </c>
      <c r="B133" s="21">
        <f>HLOOKUP(Guide!$J$247,Guide!$H$203:$J$204,2,FALSE)</f>
        <v>50</v>
      </c>
      <c r="E133" s="126">
        <v>3</v>
      </c>
      <c r="F133" s="128">
        <v>0</v>
      </c>
      <c r="G133" s="128">
        <v>0</v>
      </c>
      <c r="H133" s="128">
        <v>0</v>
      </c>
      <c r="I133" s="128">
        <v>0</v>
      </c>
      <c r="K133" s="126">
        <v>3</v>
      </c>
      <c r="L133" s="158">
        <f>IFERROR(F133*Guide!H$201/F$156,0)</f>
        <v>0</v>
      </c>
      <c r="M133" s="158">
        <f>IFERROR(G133*Guide!I$201/G$156,0)</f>
        <v>0</v>
      </c>
      <c r="N133" s="158">
        <f>IFERROR(H133*Guide!J$201/H$156,0)</f>
        <v>0</v>
      </c>
      <c r="O133" s="158">
        <f>IFERROR(I133*Guide!K$201/I$156,0)</f>
        <v>0</v>
      </c>
    </row>
    <row r="134" spans="1:15">
      <c r="A134" s="169" t="s">
        <v>281</v>
      </c>
      <c r="B134" s="170">
        <f>Guide!H117</f>
        <v>300</v>
      </c>
      <c r="E134" s="126">
        <v>4</v>
      </c>
      <c r="F134" s="128">
        <v>0</v>
      </c>
      <c r="G134" s="128">
        <v>0</v>
      </c>
      <c r="H134" s="128">
        <v>0</v>
      </c>
      <c r="I134" s="128">
        <v>0</v>
      </c>
      <c r="K134" s="126">
        <v>4</v>
      </c>
      <c r="L134" s="158">
        <f>IFERROR(F134*Guide!H$201/F$156,0)</f>
        <v>0</v>
      </c>
      <c r="M134" s="158">
        <f>IFERROR(G134*Guide!I$201/G$156,0)</f>
        <v>0</v>
      </c>
      <c r="N134" s="158">
        <f>IFERROR(H134*Guide!J$201/H$156,0)</f>
        <v>0</v>
      </c>
      <c r="O134" s="158">
        <f>IFERROR(I134*Guide!K$201/I$156,0)</f>
        <v>0</v>
      </c>
    </row>
    <row r="135" spans="1:15">
      <c r="A135" s="169" t="s">
        <v>282</v>
      </c>
      <c r="B135" s="171">
        <f>Guide!H118</f>
        <v>40</v>
      </c>
      <c r="E135" s="126">
        <v>5</v>
      </c>
      <c r="F135" s="128">
        <v>0</v>
      </c>
      <c r="G135" s="128">
        <v>0</v>
      </c>
      <c r="H135" s="128">
        <v>0</v>
      </c>
      <c r="I135" s="128">
        <v>0</v>
      </c>
      <c r="K135" s="126">
        <v>5</v>
      </c>
      <c r="L135" s="158">
        <f>IFERROR(F135*Guide!H$201/F$156,0)</f>
        <v>0</v>
      </c>
      <c r="M135" s="158">
        <f>IFERROR(G135*Guide!I$201/G$156,0)</f>
        <v>0</v>
      </c>
      <c r="N135" s="158">
        <f>IFERROR(H135*Guide!J$201/H$156,0)</f>
        <v>0</v>
      </c>
      <c r="O135" s="158">
        <f>IFERROR(I135*Guide!K$201/I$156,0)</f>
        <v>0</v>
      </c>
    </row>
    <row r="136" spans="1:15">
      <c r="A136" s="169" t="s">
        <v>270</v>
      </c>
      <c r="B136" s="170">
        <f>Guide!H119</f>
        <v>0.15</v>
      </c>
      <c r="E136" s="126">
        <v>6</v>
      </c>
      <c r="F136" s="128">
        <v>0</v>
      </c>
      <c r="G136" s="128">
        <v>0</v>
      </c>
      <c r="H136" s="128">
        <v>0</v>
      </c>
      <c r="I136" s="128">
        <v>0</v>
      </c>
      <c r="K136" s="126">
        <v>6</v>
      </c>
      <c r="L136" s="158">
        <f>IFERROR(F136*Guide!H$201/F$156,0)</f>
        <v>0</v>
      </c>
      <c r="M136" s="158">
        <f>IFERROR(G136*Guide!I$201/G$156,0)</f>
        <v>0</v>
      </c>
      <c r="N136" s="158">
        <f>IFERROR(H136*Guide!J$201/H$156,0)</f>
        <v>0</v>
      </c>
      <c r="O136" s="158">
        <f>IFERROR(I136*Guide!K$201/I$156,0)</f>
        <v>0</v>
      </c>
    </row>
    <row r="137" spans="1:15">
      <c r="A137" s="169" t="s">
        <v>269</v>
      </c>
      <c r="B137" s="171">
        <f>Guide!H120</f>
        <v>60</v>
      </c>
      <c r="E137" s="126">
        <v>7</v>
      </c>
      <c r="F137" s="128">
        <v>0</v>
      </c>
      <c r="G137" s="128">
        <v>0</v>
      </c>
      <c r="H137" s="128">
        <v>0</v>
      </c>
      <c r="I137" s="128">
        <v>0</v>
      </c>
      <c r="K137" s="126">
        <v>7</v>
      </c>
      <c r="L137" s="158">
        <f>IFERROR(F137*Guide!H$201/F$156,0)</f>
        <v>0</v>
      </c>
      <c r="M137" s="158">
        <f>IFERROR(G137*Guide!I$201/G$156,0)</f>
        <v>0</v>
      </c>
      <c r="N137" s="158">
        <f>IFERROR(H137*Guide!J$201/H$156,0)</f>
        <v>0</v>
      </c>
      <c r="O137" s="158">
        <f>IFERROR(I137*Guide!K$201/I$156,0)</f>
        <v>0</v>
      </c>
    </row>
    <row r="138" spans="1:15">
      <c r="A138" s="169" t="s">
        <v>265</v>
      </c>
      <c r="B138" s="170">
        <f>($B$134/$B$135)+($B$136*$B$137)</f>
        <v>16.5</v>
      </c>
      <c r="E138" s="126">
        <v>8</v>
      </c>
      <c r="F138" s="128">
        <v>0</v>
      </c>
      <c r="G138" s="128">
        <v>0</v>
      </c>
      <c r="H138" s="128">
        <v>0</v>
      </c>
      <c r="I138" s="128">
        <f>27.5214412463052/0.65</f>
        <v>42.340678840469536</v>
      </c>
      <c r="K138" s="126">
        <v>8</v>
      </c>
      <c r="L138" s="158">
        <f>IFERROR(F138*Guide!H$201/F$156,0)</f>
        <v>0</v>
      </c>
      <c r="M138" s="158">
        <f>IFERROR(G138*Guide!I$201/G$156,0)</f>
        <v>0</v>
      </c>
      <c r="N138" s="158">
        <f>IFERROR(H138*Guide!J$201/H$156,0)</f>
        <v>0</v>
      </c>
      <c r="O138" s="158">
        <f>IFERROR(I138*Guide!K$201/I$156,0)</f>
        <v>42.340678840469536</v>
      </c>
    </row>
    <row r="139" spans="1:15">
      <c r="E139" s="126">
        <v>9</v>
      </c>
      <c r="F139" s="128">
        <v>0</v>
      </c>
      <c r="G139" s="128">
        <v>0</v>
      </c>
      <c r="H139" s="128">
        <v>0</v>
      </c>
      <c r="I139" s="128">
        <v>0</v>
      </c>
      <c r="K139" s="126">
        <v>9</v>
      </c>
      <c r="L139" s="158">
        <f>IFERROR(F139*Guide!H$201/F$156,0)</f>
        <v>0</v>
      </c>
      <c r="M139" s="158">
        <f>IFERROR(G139*Guide!I$201/G$156,0)</f>
        <v>0</v>
      </c>
      <c r="N139" s="158">
        <f>IFERROR(H139*Guide!J$201/H$156,0)</f>
        <v>0</v>
      </c>
      <c r="O139" s="158">
        <f>IFERROR(I139*Guide!K$201/I$156,0)</f>
        <v>0</v>
      </c>
    </row>
    <row r="140" spans="1:15">
      <c r="B140" t="s">
        <v>8</v>
      </c>
      <c r="C140" t="s">
        <v>9</v>
      </c>
      <c r="E140" s="126">
        <v>10</v>
      </c>
      <c r="F140" s="128">
        <v>0</v>
      </c>
      <c r="G140" s="128">
        <v>0</v>
      </c>
      <c r="H140" s="128">
        <v>0</v>
      </c>
      <c r="I140" s="128">
        <v>0</v>
      </c>
      <c r="K140" s="126">
        <v>10</v>
      </c>
      <c r="L140" s="158">
        <f>IFERROR(F140*Guide!H$201/F$156,0)</f>
        <v>0</v>
      </c>
      <c r="M140" s="158">
        <f>IFERROR(G140*Guide!I$201/G$156,0)</f>
        <v>0</v>
      </c>
      <c r="N140" s="158">
        <f>IFERROR(H140*Guide!J$201/H$156,0)</f>
        <v>0</v>
      </c>
      <c r="O140" s="158">
        <f>IFERROR(I140*Guide!K$201/I$156,0)</f>
        <v>0</v>
      </c>
    </row>
    <row r="141" spans="1:15">
      <c r="A141" s="131" t="s">
        <v>228</v>
      </c>
      <c r="B141" s="133">
        <v>1</v>
      </c>
      <c r="C141">
        <v>0.64</v>
      </c>
      <c r="E141" s="126">
        <v>11</v>
      </c>
      <c r="F141" s="128">
        <v>0</v>
      </c>
      <c r="G141" s="128">
        <v>0</v>
      </c>
      <c r="H141" s="128">
        <v>0</v>
      </c>
      <c r="I141" s="128">
        <v>0</v>
      </c>
      <c r="K141" s="126">
        <v>11</v>
      </c>
      <c r="L141" s="158">
        <f>IFERROR(F141*Guide!H$201/F$156,0)</f>
        <v>0</v>
      </c>
      <c r="M141" s="158">
        <f>IFERROR(G141*Guide!I$201/G$156,0)</f>
        <v>0</v>
      </c>
      <c r="N141" s="158">
        <f>IFERROR(H141*Guide!J$201/H$156,0)</f>
        <v>0</v>
      </c>
      <c r="O141" s="158">
        <f>IFERROR(I141*Guide!K$201/I$156,0)</f>
        <v>0</v>
      </c>
    </row>
    <row r="142" spans="1:15">
      <c r="A142" s="131" t="s">
        <v>260</v>
      </c>
      <c r="B142" s="133">
        <v>0.39</v>
      </c>
      <c r="C142">
        <v>0.69</v>
      </c>
      <c r="E142" s="126">
        <v>12</v>
      </c>
      <c r="F142" s="128">
        <v>0</v>
      </c>
      <c r="G142" s="128">
        <v>0</v>
      </c>
      <c r="H142" s="128">
        <v>0</v>
      </c>
      <c r="I142" s="128">
        <v>0</v>
      </c>
      <c r="K142" s="126">
        <v>12</v>
      </c>
      <c r="L142" s="158">
        <f>IFERROR(F142*Guide!H$201/F$156,0)</f>
        <v>0</v>
      </c>
      <c r="M142" s="158">
        <f>IFERROR(G142*Guide!I$201/G$156,0)</f>
        <v>0</v>
      </c>
      <c r="N142" s="158">
        <f>IFERROR(H142*Guide!J$201/H$156,0)</f>
        <v>0</v>
      </c>
      <c r="O142" s="158">
        <f>IFERROR(I142*Guide!K$201/I$156,0)</f>
        <v>0</v>
      </c>
    </row>
    <row r="143" spans="1:15">
      <c r="A143" s="131" t="s">
        <v>261</v>
      </c>
      <c r="B143" s="133">
        <v>1</v>
      </c>
      <c r="C143" s="133">
        <v>1</v>
      </c>
      <c r="E143" s="126">
        <v>13</v>
      </c>
      <c r="F143" s="128">
        <v>0</v>
      </c>
      <c r="G143" s="128">
        <v>0</v>
      </c>
      <c r="H143" s="128">
        <v>0</v>
      </c>
      <c r="I143" s="128">
        <v>0</v>
      </c>
      <c r="K143" s="126">
        <v>13</v>
      </c>
      <c r="L143" s="158">
        <f>IFERROR(F143*Guide!H$201/F$156,0)</f>
        <v>0</v>
      </c>
      <c r="M143" s="158">
        <f>IFERROR(G143*Guide!I$201/G$156,0)</f>
        <v>0</v>
      </c>
      <c r="N143" s="158">
        <f>IFERROR(H143*Guide!J$201/H$156,0)</f>
        <v>0</v>
      </c>
      <c r="O143" s="158">
        <f>IFERROR(I143*Guide!K$201/I$156,0)</f>
        <v>0</v>
      </c>
    </row>
    <row r="144" spans="1:15">
      <c r="A144" s="169" t="s">
        <v>228</v>
      </c>
      <c r="B144" s="160">
        <f>HLOOKUP(Guide!$G$245,$B$140:$C$141,2,FALSE)</f>
        <v>1</v>
      </c>
      <c r="E144" s="126">
        <v>14</v>
      </c>
      <c r="F144" s="128">
        <v>0</v>
      </c>
      <c r="G144" s="128">
        <v>0</v>
      </c>
      <c r="H144" s="128">
        <v>0</v>
      </c>
      <c r="I144" s="128">
        <f>28.9432214433091/0.65</f>
        <v>44.528032989706304</v>
      </c>
      <c r="K144" s="126">
        <v>14</v>
      </c>
      <c r="L144" s="158">
        <f>IFERROR(F144*Guide!H$201/F$156,0)</f>
        <v>0</v>
      </c>
      <c r="M144" s="158">
        <f>IFERROR(G144*Guide!I$201/G$156,0)</f>
        <v>0</v>
      </c>
      <c r="N144" s="158">
        <f>IFERROR(H144*Guide!J$201/H$156,0)</f>
        <v>0</v>
      </c>
      <c r="O144" s="158">
        <f>IFERROR(I144*Guide!K$201/I$156,0)</f>
        <v>44.528032989706304</v>
      </c>
    </row>
    <row r="145" spans="1:15">
      <c r="A145" s="169" t="s">
        <v>274</v>
      </c>
      <c r="B145" s="160">
        <f>HLOOKUP(Guide!$G$245,$B$140:$C$143,IF(Guide!$G$247="Good",4,3),FALSE)</f>
        <v>1</v>
      </c>
      <c r="E145" s="126">
        <v>15</v>
      </c>
      <c r="F145" s="128">
        <v>0</v>
      </c>
      <c r="G145" s="128">
        <v>0</v>
      </c>
      <c r="H145" s="128">
        <v>0</v>
      </c>
      <c r="I145" s="128">
        <v>0</v>
      </c>
      <c r="K145" s="126">
        <v>15</v>
      </c>
      <c r="L145" s="158">
        <f>IFERROR(F145*Guide!H$201/F$156,0)</f>
        <v>0</v>
      </c>
      <c r="M145" s="158">
        <f>IFERROR(G145*Guide!I$201/G$156,0)</f>
        <v>0</v>
      </c>
      <c r="N145" s="158">
        <f>IFERROR(H145*Guide!J$201/H$156,0)</f>
        <v>0</v>
      </c>
      <c r="O145" s="158">
        <f>IFERROR(I145*Guide!K$201/I$156,0)</f>
        <v>0</v>
      </c>
    </row>
    <row r="146" spans="1:15">
      <c r="E146" s="126">
        <v>16</v>
      </c>
      <c r="F146" s="128">
        <v>0</v>
      </c>
      <c r="G146" s="128">
        <v>0</v>
      </c>
      <c r="H146" s="128">
        <v>0</v>
      </c>
      <c r="I146" s="128">
        <v>0</v>
      </c>
      <c r="K146" s="126">
        <v>16</v>
      </c>
      <c r="L146" s="158">
        <f>IFERROR(F146*Guide!H$201/F$156,0)</f>
        <v>0</v>
      </c>
      <c r="M146" s="158">
        <f>IFERROR(G146*Guide!I$201/G$156,0)</f>
        <v>0</v>
      </c>
      <c r="N146" s="158">
        <f>IFERROR(H146*Guide!J$201/H$156,0)</f>
        <v>0</v>
      </c>
      <c r="O146" s="158">
        <f>IFERROR(I146*Guide!K$201/I$156,0)</f>
        <v>0</v>
      </c>
    </row>
    <row r="147" spans="1:15">
      <c r="E147" s="126">
        <v>17</v>
      </c>
      <c r="F147" s="128">
        <v>0</v>
      </c>
      <c r="G147" s="128">
        <v>0</v>
      </c>
      <c r="H147" s="128">
        <v>0</v>
      </c>
      <c r="I147" s="128">
        <v>0</v>
      </c>
      <c r="K147" s="126">
        <v>17</v>
      </c>
      <c r="L147" s="158">
        <f>IFERROR(F147*Guide!H$201/F$156,0)</f>
        <v>0</v>
      </c>
      <c r="M147" s="158">
        <f>IFERROR(G147*Guide!I$201/G$156,0)</f>
        <v>0</v>
      </c>
      <c r="N147" s="158">
        <f>IFERROR(H147*Guide!J$201/H$156,0)</f>
        <v>0</v>
      </c>
      <c r="O147" s="158">
        <f>IFERROR(I147*Guide!K$201/I$156,0)</f>
        <v>0</v>
      </c>
    </row>
    <row r="148" spans="1:15">
      <c r="A148" s="181" t="s">
        <v>280</v>
      </c>
      <c r="B148" s="181"/>
      <c r="E148" s="126">
        <v>18</v>
      </c>
      <c r="F148" s="128">
        <v>0</v>
      </c>
      <c r="G148" s="128">
        <v>0</v>
      </c>
      <c r="H148" s="128">
        <v>0</v>
      </c>
      <c r="I148" s="128">
        <v>0</v>
      </c>
      <c r="K148" s="126">
        <v>18</v>
      </c>
      <c r="L148" s="158">
        <f>IFERROR(F148*Guide!H$201/F$156,0)</f>
        <v>0</v>
      </c>
      <c r="M148" s="158">
        <f>IFERROR(G148*Guide!I$201/G$156,0)</f>
        <v>0</v>
      </c>
      <c r="N148" s="158">
        <f>IFERROR(H148*Guide!J$201/H$156,0)</f>
        <v>0</v>
      </c>
      <c r="O148" s="158">
        <f>IFERROR(I148*Guide!K$201/I$156,0)</f>
        <v>0</v>
      </c>
    </row>
    <row r="149" spans="1:15">
      <c r="A149" s="169" t="s">
        <v>279</v>
      </c>
      <c r="B149" s="168">
        <f>SUM(H159:H184)</f>
        <v>4057.4962324922885</v>
      </c>
      <c r="E149" s="126">
        <v>19</v>
      </c>
      <c r="F149" s="128">
        <v>0</v>
      </c>
      <c r="G149" s="128">
        <v>0</v>
      </c>
      <c r="H149" s="128">
        <v>0</v>
      </c>
      <c r="I149" s="128">
        <v>0</v>
      </c>
      <c r="K149" s="126">
        <v>19</v>
      </c>
      <c r="L149" s="158">
        <f>IFERROR(F149*Guide!H$201/F$156,0)</f>
        <v>0</v>
      </c>
      <c r="M149" s="158">
        <f>IFERROR(G149*Guide!I$201/G$156,0)</f>
        <v>0</v>
      </c>
      <c r="N149" s="158">
        <f>IFERROR(H149*Guide!J$201/H$156,0)</f>
        <v>0</v>
      </c>
      <c r="O149" s="158">
        <f>IFERROR(I149*Guide!K$201/I$156,0)</f>
        <v>0</v>
      </c>
    </row>
    <row r="150" spans="1:15">
      <c r="A150" s="169" t="s">
        <v>278</v>
      </c>
      <c r="B150" s="168">
        <f>SUM(I159:I184)</f>
        <v>1338.9737567224552</v>
      </c>
      <c r="E150" s="126">
        <v>20</v>
      </c>
      <c r="F150" s="128">
        <v>0</v>
      </c>
      <c r="G150" s="128">
        <v>0</v>
      </c>
      <c r="H150" s="128">
        <v>0</v>
      </c>
      <c r="I150" s="128">
        <f>30.0513973818113/0.65</f>
        <v>46.23291904894046</v>
      </c>
      <c r="K150" s="126">
        <v>20</v>
      </c>
      <c r="L150" s="158">
        <f>IFERROR(F150*Guide!H$201/F$156,0)</f>
        <v>0</v>
      </c>
      <c r="M150" s="158">
        <f>IFERROR(G150*Guide!I$201/G$156,0)</f>
        <v>0</v>
      </c>
      <c r="N150" s="158">
        <f>IFERROR(H150*Guide!J$201/H$156,0)</f>
        <v>0</v>
      </c>
      <c r="O150" s="158">
        <f>IFERROR(I150*Guide!K$201/I$156,0)</f>
        <v>46.23291904894046</v>
      </c>
    </row>
    <row r="151" spans="1:15">
      <c r="A151" s="169" t="s">
        <v>276</v>
      </c>
      <c r="B151" s="168">
        <f>IFERROR($B$130/(1-(1+$B$130)^-$B$129),0)</f>
        <v>7.0952457299229624E-2</v>
      </c>
      <c r="E151" s="126">
        <v>21</v>
      </c>
      <c r="F151" s="128">
        <v>0</v>
      </c>
      <c r="G151" s="128">
        <v>0</v>
      </c>
      <c r="H151" s="128">
        <v>0</v>
      </c>
      <c r="I151" s="128">
        <v>0</v>
      </c>
      <c r="K151" s="126">
        <v>21</v>
      </c>
      <c r="L151" s="158">
        <f>IFERROR(F151*Guide!H$201/F$156,0)</f>
        <v>0</v>
      </c>
      <c r="M151" s="158">
        <f>IFERROR(G151*Guide!I$201/G$156,0)</f>
        <v>0</v>
      </c>
      <c r="N151" s="158">
        <f>IFERROR(H151*Guide!J$201/H$156,0)</f>
        <v>0</v>
      </c>
      <c r="O151" s="158">
        <f>IFERROR(I151*Guide!K$201/I$156,0)</f>
        <v>0</v>
      </c>
    </row>
    <row r="152" spans="1:15">
      <c r="A152" s="169" t="s">
        <v>275</v>
      </c>
      <c r="B152" s="168">
        <f>B149*B151</f>
        <v>287.88932817769415</v>
      </c>
      <c r="E152" s="126">
        <v>22</v>
      </c>
      <c r="F152" s="128">
        <v>0</v>
      </c>
      <c r="G152" s="128">
        <v>0</v>
      </c>
      <c r="H152" s="128">
        <v>0</v>
      </c>
      <c r="I152" s="128">
        <v>0</v>
      </c>
      <c r="K152" s="126">
        <v>22</v>
      </c>
      <c r="L152" s="158">
        <f>IFERROR(F152*Guide!H$201/F$156,0)</f>
        <v>0</v>
      </c>
      <c r="M152" s="158">
        <f>IFERROR(G152*Guide!I$201/G$156,0)</f>
        <v>0</v>
      </c>
      <c r="N152" s="158">
        <f>IFERROR(H152*Guide!J$201/H$156,0)</f>
        <v>0</v>
      </c>
      <c r="O152" s="158">
        <f>IFERROR(I152*Guide!K$201/I$156,0)</f>
        <v>0</v>
      </c>
    </row>
    <row r="153" spans="1:15">
      <c r="A153" s="169" t="s">
        <v>273</v>
      </c>
      <c r="B153" s="168">
        <f>B150*B151</f>
        <v>95.003478298639081</v>
      </c>
      <c r="E153" s="126">
        <v>23</v>
      </c>
      <c r="F153" s="128">
        <v>0</v>
      </c>
      <c r="G153" s="128">
        <v>0</v>
      </c>
      <c r="H153" s="128">
        <v>0</v>
      </c>
      <c r="I153" s="128">
        <v>0</v>
      </c>
      <c r="K153" s="126">
        <v>23</v>
      </c>
      <c r="L153" s="158">
        <f>IFERROR(F153*Guide!H$201/F$156,0)</f>
        <v>0</v>
      </c>
      <c r="M153" s="158">
        <f>IFERROR(G153*Guide!I$201/G$156,0)</f>
        <v>0</v>
      </c>
      <c r="N153" s="158">
        <f>IFERROR(H153*Guide!J$201/H$156,0)</f>
        <v>0</v>
      </c>
      <c r="O153" s="158">
        <f>IFERROR(I153*Guide!K$201/I$156,0)</f>
        <v>0</v>
      </c>
    </row>
    <row r="154" spans="1:15">
      <c r="A154" s="169" t="s">
        <v>271</v>
      </c>
      <c r="B154" s="168">
        <f>B152-B153</f>
        <v>192.88584987905506</v>
      </c>
      <c r="E154" s="126">
        <v>24</v>
      </c>
      <c r="F154" s="128">
        <v>0</v>
      </c>
      <c r="G154" s="128">
        <v>0</v>
      </c>
      <c r="H154" s="128">
        <v>0</v>
      </c>
      <c r="I154" s="128">
        <v>0</v>
      </c>
      <c r="K154" s="126">
        <v>24</v>
      </c>
      <c r="L154" s="158">
        <f>IFERROR(F154*Guide!H$201/F$156,0)</f>
        <v>0</v>
      </c>
      <c r="M154" s="158">
        <f>IFERROR(G154*Guide!I$201/G$156,0)</f>
        <v>0</v>
      </c>
      <c r="N154" s="158">
        <f>IFERROR(H154*Guide!J$201/H$156,0)</f>
        <v>0</v>
      </c>
      <c r="O154" s="158">
        <f>IFERROR(I154*Guide!K$201/I$156,0)</f>
        <v>0</v>
      </c>
    </row>
    <row r="155" spans="1:15" ht="15" thickBot="1">
      <c r="E155" s="126">
        <v>25</v>
      </c>
      <c r="F155" s="128">
        <v>0</v>
      </c>
      <c r="G155" s="128">
        <v>0</v>
      </c>
      <c r="H155" s="128">
        <v>0</v>
      </c>
      <c r="I155" s="128">
        <f>27.6851687298012/0.65</f>
        <v>42.592567276617231</v>
      </c>
      <c r="K155" s="126">
        <v>25</v>
      </c>
      <c r="L155" s="158">
        <f>IFERROR(F155*Guide!H$201/F$156,0)</f>
        <v>0</v>
      </c>
      <c r="M155" s="158">
        <f>IFERROR(G155*Guide!I$201/G$156,0)</f>
        <v>0</v>
      </c>
      <c r="N155" s="158">
        <f>IFERROR(H155*Guide!J$201/H$156,0)</f>
        <v>0</v>
      </c>
      <c r="O155" s="158">
        <f>IFERROR(I155*Guide!K$201/I$156,0)</f>
        <v>42.592567276617231</v>
      </c>
    </row>
    <row r="156" spans="1:15" ht="15.5" thickTop="1" thickBot="1">
      <c r="F156" s="157">
        <f>AVERAGE(F131:F155)</f>
        <v>0</v>
      </c>
      <c r="G156" s="157">
        <f t="shared" ref="G156:I156" si="8">AVERAGE(G131:G155)</f>
        <v>0</v>
      </c>
      <c r="H156" s="157">
        <f t="shared" si="8"/>
        <v>0</v>
      </c>
      <c r="I156" s="157">
        <f t="shared" si="8"/>
        <v>7.027767926229342</v>
      </c>
      <c r="L156" s="159">
        <f>AVERAGE(L131:L155)</f>
        <v>0</v>
      </c>
      <c r="M156" s="159">
        <f t="shared" ref="M156:O156" si="9">AVERAGE(M131:M155)</f>
        <v>0</v>
      </c>
      <c r="N156" s="159">
        <f t="shared" si="9"/>
        <v>0</v>
      </c>
      <c r="O156" s="159">
        <f t="shared" si="9"/>
        <v>7.027767926229342</v>
      </c>
    </row>
    <row r="157" spans="1:15" ht="15" thickTop="1"/>
    <row r="158" spans="1:15" ht="42">
      <c r="A158" s="142" t="s">
        <v>217</v>
      </c>
      <c r="B158" s="142" t="s">
        <v>268</v>
      </c>
      <c r="C158" s="142" t="s">
        <v>267</v>
      </c>
      <c r="D158" s="142" t="s">
        <v>266</v>
      </c>
      <c r="E158" s="142" t="s">
        <v>265</v>
      </c>
      <c r="F158" s="142" t="s">
        <v>264</v>
      </c>
      <c r="G158" s="142" t="s">
        <v>237</v>
      </c>
      <c r="H158" s="142" t="s">
        <v>263</v>
      </c>
      <c r="I158" s="142" t="s">
        <v>262</v>
      </c>
    </row>
    <row r="159" spans="1:15">
      <c r="A159">
        <v>0</v>
      </c>
      <c r="B159" s="172">
        <f>INDEX(L130:O130,1,MATCH(Guide!$G$246,Scenarios!$B$2:$B$5,0))</f>
        <v>0</v>
      </c>
      <c r="C159" s="167">
        <f t="shared" ref="C159:C184" si="10">IF(AND($B$131,A159&lt;=$B$129),B159*$B$144*$B$145,0)</f>
        <v>0</v>
      </c>
      <c r="D159" s="166">
        <f t="shared" ref="D159:D184" si="11">C159*$B$133</f>
        <v>0</v>
      </c>
      <c r="E159" s="166">
        <f t="shared" ref="E159:E184" si="12">$B$138</f>
        <v>16.5</v>
      </c>
      <c r="F159" s="166">
        <f t="shared" ref="F159:F184" si="13">C159*E159</f>
        <v>0</v>
      </c>
      <c r="G159" s="119">
        <f t="shared" ref="G159:G184" si="14">1/(1+$B$130)^A159</f>
        <v>1</v>
      </c>
      <c r="H159" s="166">
        <f t="shared" ref="H159:H184" si="15">D159*G159</f>
        <v>0</v>
      </c>
      <c r="I159" s="166">
        <f t="shared" ref="I159:I184" si="16">F159*G159</f>
        <v>0</v>
      </c>
    </row>
    <row r="160" spans="1:15">
      <c r="A160">
        <v>1</v>
      </c>
      <c r="B160" s="172">
        <f>INDEX(L131:O131,1,MATCH(Guide!$G$246,Scenarios!$B$2:$B$5,0))</f>
        <v>0</v>
      </c>
      <c r="C160" s="167">
        <f t="shared" si="10"/>
        <v>0</v>
      </c>
      <c r="D160" s="166">
        <f t="shared" si="11"/>
        <v>0</v>
      </c>
      <c r="E160" s="166">
        <f t="shared" si="12"/>
        <v>16.5</v>
      </c>
      <c r="F160" s="166">
        <f t="shared" si="13"/>
        <v>0</v>
      </c>
      <c r="G160" s="119">
        <f t="shared" si="14"/>
        <v>0.95238095238095233</v>
      </c>
      <c r="H160" s="166">
        <f t="shared" si="15"/>
        <v>0</v>
      </c>
      <c r="I160" s="166">
        <f t="shared" si="16"/>
        <v>0</v>
      </c>
    </row>
    <row r="161" spans="1:9">
      <c r="A161">
        <v>2</v>
      </c>
      <c r="B161" s="172">
        <f>INDEX(L132:O132,1,MATCH(Guide!$G$246,Scenarios!$B$2:$B$5,0))</f>
        <v>0</v>
      </c>
      <c r="C161" s="167">
        <f t="shared" si="10"/>
        <v>0</v>
      </c>
      <c r="D161" s="166">
        <f t="shared" si="11"/>
        <v>0</v>
      </c>
      <c r="E161" s="166">
        <f t="shared" si="12"/>
        <v>16.5</v>
      </c>
      <c r="F161" s="166">
        <f t="shared" si="13"/>
        <v>0</v>
      </c>
      <c r="G161" s="119">
        <f t="shared" si="14"/>
        <v>0.90702947845804982</v>
      </c>
      <c r="H161" s="166">
        <f t="shared" si="15"/>
        <v>0</v>
      </c>
      <c r="I161" s="166">
        <f t="shared" si="16"/>
        <v>0</v>
      </c>
    </row>
    <row r="162" spans="1:9">
      <c r="A162">
        <v>3</v>
      </c>
      <c r="B162" s="172">
        <f>INDEX(L133:O133,1,MATCH(Guide!$G$246,Scenarios!$B$2:$B$5,0))</f>
        <v>0</v>
      </c>
      <c r="C162" s="167">
        <f t="shared" si="10"/>
        <v>0</v>
      </c>
      <c r="D162" s="166">
        <f t="shared" si="11"/>
        <v>0</v>
      </c>
      <c r="E162" s="166">
        <f t="shared" si="12"/>
        <v>16.5</v>
      </c>
      <c r="F162" s="166">
        <f t="shared" si="13"/>
        <v>0</v>
      </c>
      <c r="G162" s="119">
        <f t="shared" si="14"/>
        <v>0.86383759853147601</v>
      </c>
      <c r="H162" s="166">
        <f t="shared" si="15"/>
        <v>0</v>
      </c>
      <c r="I162" s="166">
        <f t="shared" si="16"/>
        <v>0</v>
      </c>
    </row>
    <row r="163" spans="1:9">
      <c r="A163">
        <v>4</v>
      </c>
      <c r="B163" s="172">
        <f>INDEX(L134:O134,1,MATCH(Guide!$G$246,Scenarios!$B$2:$B$5,0))</f>
        <v>0</v>
      </c>
      <c r="C163" s="167">
        <f t="shared" si="10"/>
        <v>0</v>
      </c>
      <c r="D163" s="166">
        <f t="shared" si="11"/>
        <v>0</v>
      </c>
      <c r="E163" s="166">
        <f t="shared" si="12"/>
        <v>16.5</v>
      </c>
      <c r="F163" s="166">
        <f t="shared" si="13"/>
        <v>0</v>
      </c>
      <c r="G163" s="119">
        <f t="shared" si="14"/>
        <v>0.82270247479188197</v>
      </c>
      <c r="H163" s="166">
        <f t="shared" si="15"/>
        <v>0</v>
      </c>
      <c r="I163" s="166">
        <f t="shared" si="16"/>
        <v>0</v>
      </c>
    </row>
    <row r="164" spans="1:9">
      <c r="A164">
        <v>5</v>
      </c>
      <c r="B164" s="172">
        <f>INDEX(L135:O135,1,MATCH(Guide!$G$246,Scenarios!$B$2:$B$5,0))</f>
        <v>0</v>
      </c>
      <c r="C164" s="167">
        <f t="shared" si="10"/>
        <v>0</v>
      </c>
      <c r="D164" s="166">
        <f t="shared" si="11"/>
        <v>0</v>
      </c>
      <c r="E164" s="166">
        <f t="shared" si="12"/>
        <v>16.5</v>
      </c>
      <c r="F164" s="166">
        <f t="shared" si="13"/>
        <v>0</v>
      </c>
      <c r="G164" s="119">
        <f t="shared" si="14"/>
        <v>0.78352616646845896</v>
      </c>
      <c r="H164" s="166">
        <f t="shared" si="15"/>
        <v>0</v>
      </c>
      <c r="I164" s="166">
        <f t="shared" si="16"/>
        <v>0</v>
      </c>
    </row>
    <row r="165" spans="1:9">
      <c r="A165">
        <v>6</v>
      </c>
      <c r="B165" s="172">
        <f>INDEX(L136:O136,1,MATCH(Guide!$G$246,Scenarios!$B$2:$B$5,0))</f>
        <v>0</v>
      </c>
      <c r="C165" s="167">
        <f t="shared" si="10"/>
        <v>0</v>
      </c>
      <c r="D165" s="166">
        <f t="shared" si="11"/>
        <v>0</v>
      </c>
      <c r="E165" s="166">
        <f t="shared" si="12"/>
        <v>16.5</v>
      </c>
      <c r="F165" s="166">
        <f t="shared" si="13"/>
        <v>0</v>
      </c>
      <c r="G165" s="119">
        <f t="shared" si="14"/>
        <v>0.74621539663662761</v>
      </c>
      <c r="H165" s="166">
        <f t="shared" si="15"/>
        <v>0</v>
      </c>
      <c r="I165" s="166">
        <f t="shared" si="16"/>
        <v>0</v>
      </c>
    </row>
    <row r="166" spans="1:9">
      <c r="A166">
        <v>7</v>
      </c>
      <c r="B166" s="172">
        <f>INDEX(L137:O137,1,MATCH(Guide!$G$246,Scenarios!$B$2:$B$5,0))</f>
        <v>0</v>
      </c>
      <c r="C166" s="167">
        <f t="shared" si="10"/>
        <v>0</v>
      </c>
      <c r="D166" s="166">
        <f t="shared" si="11"/>
        <v>0</v>
      </c>
      <c r="E166" s="166">
        <f t="shared" si="12"/>
        <v>16.5</v>
      </c>
      <c r="F166" s="166">
        <f t="shared" si="13"/>
        <v>0</v>
      </c>
      <c r="G166" s="119">
        <f t="shared" si="14"/>
        <v>0.71068133013012147</v>
      </c>
      <c r="H166" s="166">
        <f t="shared" si="15"/>
        <v>0</v>
      </c>
      <c r="I166" s="166">
        <f t="shared" si="16"/>
        <v>0</v>
      </c>
    </row>
    <row r="167" spans="1:9">
      <c r="A167">
        <v>8</v>
      </c>
      <c r="B167" s="172">
        <f>INDEX(L138:O138,1,MATCH(Guide!$G$246,Scenarios!$B$2:$B$5,0))</f>
        <v>42.340678840469536</v>
      </c>
      <c r="C167" s="167">
        <f t="shared" si="10"/>
        <v>42.340678840469536</v>
      </c>
      <c r="D167" s="166">
        <f t="shared" si="11"/>
        <v>2117.0339420234768</v>
      </c>
      <c r="E167" s="166">
        <f t="shared" si="12"/>
        <v>16.5</v>
      </c>
      <c r="F167" s="166">
        <f t="shared" si="13"/>
        <v>698.62120086774735</v>
      </c>
      <c r="G167" s="119">
        <f t="shared" si="14"/>
        <v>0.67683936202868722</v>
      </c>
      <c r="H167" s="166">
        <f t="shared" si="15"/>
        <v>1432.8919027122467</v>
      </c>
      <c r="I167" s="166">
        <f t="shared" si="16"/>
        <v>472.85432789504148</v>
      </c>
    </row>
    <row r="168" spans="1:9">
      <c r="A168">
        <v>9</v>
      </c>
      <c r="B168" s="172">
        <f>INDEX(L139:O139,1,MATCH(Guide!$G$246,Scenarios!$B$2:$B$5,0))</f>
        <v>0</v>
      </c>
      <c r="C168" s="167">
        <f t="shared" si="10"/>
        <v>0</v>
      </c>
      <c r="D168" s="166">
        <f t="shared" si="11"/>
        <v>0</v>
      </c>
      <c r="E168" s="166">
        <f t="shared" si="12"/>
        <v>16.5</v>
      </c>
      <c r="F168" s="166">
        <f t="shared" si="13"/>
        <v>0</v>
      </c>
      <c r="G168" s="119">
        <f t="shared" si="14"/>
        <v>0.64460891621779726</v>
      </c>
      <c r="H168" s="166">
        <f t="shared" si="15"/>
        <v>0</v>
      </c>
      <c r="I168" s="166">
        <f t="shared" si="16"/>
        <v>0</v>
      </c>
    </row>
    <row r="169" spans="1:9">
      <c r="A169">
        <v>10</v>
      </c>
      <c r="B169" s="172">
        <f>INDEX(L140:O140,1,MATCH(Guide!$G$246,Scenarios!$B$2:$B$5,0))</f>
        <v>0</v>
      </c>
      <c r="C169" s="167">
        <f t="shared" si="10"/>
        <v>0</v>
      </c>
      <c r="D169" s="166">
        <f t="shared" si="11"/>
        <v>0</v>
      </c>
      <c r="E169" s="166">
        <f t="shared" si="12"/>
        <v>16.5</v>
      </c>
      <c r="F169" s="166">
        <f t="shared" si="13"/>
        <v>0</v>
      </c>
      <c r="G169" s="119">
        <f t="shared" si="14"/>
        <v>0.61391325354075932</v>
      </c>
      <c r="H169" s="166">
        <f t="shared" si="15"/>
        <v>0</v>
      </c>
      <c r="I169" s="166">
        <f t="shared" si="16"/>
        <v>0</v>
      </c>
    </row>
    <row r="170" spans="1:9">
      <c r="A170">
        <v>11</v>
      </c>
      <c r="B170" s="172">
        <f>INDEX(L141:O141,1,MATCH(Guide!$G$246,Scenarios!$B$2:$B$5,0))</f>
        <v>0</v>
      </c>
      <c r="C170" s="167">
        <f t="shared" si="10"/>
        <v>0</v>
      </c>
      <c r="D170" s="166">
        <f t="shared" si="11"/>
        <v>0</v>
      </c>
      <c r="E170" s="166">
        <f t="shared" si="12"/>
        <v>16.5</v>
      </c>
      <c r="F170" s="166">
        <f t="shared" si="13"/>
        <v>0</v>
      </c>
      <c r="G170" s="119">
        <f t="shared" si="14"/>
        <v>0.5846792890864374</v>
      </c>
      <c r="H170" s="166">
        <f t="shared" si="15"/>
        <v>0</v>
      </c>
      <c r="I170" s="166">
        <f t="shared" si="16"/>
        <v>0</v>
      </c>
    </row>
    <row r="171" spans="1:9">
      <c r="A171">
        <v>12</v>
      </c>
      <c r="B171" s="172">
        <f>INDEX(L142:O142,1,MATCH(Guide!$G$246,Scenarios!$B$2:$B$5,0))</f>
        <v>0</v>
      </c>
      <c r="C171" s="167">
        <f t="shared" si="10"/>
        <v>0</v>
      </c>
      <c r="D171" s="166">
        <f t="shared" si="11"/>
        <v>0</v>
      </c>
      <c r="E171" s="166">
        <f t="shared" si="12"/>
        <v>16.5</v>
      </c>
      <c r="F171" s="166">
        <f t="shared" si="13"/>
        <v>0</v>
      </c>
      <c r="G171" s="119">
        <f t="shared" si="14"/>
        <v>0.5568374181775595</v>
      </c>
      <c r="H171" s="166">
        <f t="shared" si="15"/>
        <v>0</v>
      </c>
      <c r="I171" s="166">
        <f t="shared" si="16"/>
        <v>0</v>
      </c>
    </row>
    <row r="172" spans="1:9">
      <c r="A172">
        <v>13</v>
      </c>
      <c r="B172" s="172">
        <f>INDEX(L143:O143,1,MATCH(Guide!$G$246,Scenarios!$B$2:$B$5,0))</f>
        <v>0</v>
      </c>
      <c r="C172" s="167">
        <f t="shared" si="10"/>
        <v>0</v>
      </c>
      <c r="D172" s="166">
        <f t="shared" si="11"/>
        <v>0</v>
      </c>
      <c r="E172" s="166">
        <f t="shared" si="12"/>
        <v>16.5</v>
      </c>
      <c r="F172" s="166">
        <f t="shared" si="13"/>
        <v>0</v>
      </c>
      <c r="G172" s="119">
        <f t="shared" si="14"/>
        <v>0.53032135064529462</v>
      </c>
      <c r="H172" s="166">
        <f t="shared" si="15"/>
        <v>0</v>
      </c>
      <c r="I172" s="166">
        <f t="shared" si="16"/>
        <v>0</v>
      </c>
    </row>
    <row r="173" spans="1:9">
      <c r="A173">
        <v>14</v>
      </c>
      <c r="B173" s="172">
        <f>INDEX(L144:O144,1,MATCH(Guide!$G$246,Scenarios!$B$2:$B$5,0))</f>
        <v>44.528032989706304</v>
      </c>
      <c r="C173" s="167">
        <f t="shared" si="10"/>
        <v>44.528032989706304</v>
      </c>
      <c r="D173" s="166">
        <f t="shared" si="11"/>
        <v>2226.4016494853154</v>
      </c>
      <c r="E173" s="166">
        <f t="shared" si="12"/>
        <v>16.5</v>
      </c>
      <c r="F173" s="166">
        <f t="shared" si="13"/>
        <v>734.71254433015406</v>
      </c>
      <c r="G173" s="119">
        <f t="shared" si="14"/>
        <v>0.50506795299551888</v>
      </c>
      <c r="H173" s="166">
        <f t="shared" si="15"/>
        <v>1124.4841236513951</v>
      </c>
      <c r="I173" s="166">
        <f t="shared" si="16"/>
        <v>371.0797608049603</v>
      </c>
    </row>
    <row r="174" spans="1:9">
      <c r="A174">
        <v>15</v>
      </c>
      <c r="B174" s="172">
        <f>INDEX(L145:O145,1,MATCH(Guide!$G$246,Scenarios!$B$2:$B$5,0))</f>
        <v>0</v>
      </c>
      <c r="C174" s="167">
        <f t="shared" si="10"/>
        <v>0</v>
      </c>
      <c r="D174" s="166">
        <f t="shared" si="11"/>
        <v>0</v>
      </c>
      <c r="E174" s="166">
        <f t="shared" si="12"/>
        <v>16.5</v>
      </c>
      <c r="F174" s="166">
        <f t="shared" si="13"/>
        <v>0</v>
      </c>
      <c r="G174" s="119">
        <f t="shared" si="14"/>
        <v>0.48101709809097021</v>
      </c>
      <c r="H174" s="166">
        <f t="shared" si="15"/>
        <v>0</v>
      </c>
      <c r="I174" s="166">
        <f t="shared" si="16"/>
        <v>0</v>
      </c>
    </row>
    <row r="175" spans="1:9">
      <c r="A175">
        <v>16</v>
      </c>
      <c r="B175" s="172">
        <f>INDEX(L146:O146,1,MATCH(Guide!$G$246,Scenarios!$B$2:$B$5,0))</f>
        <v>0</v>
      </c>
      <c r="C175" s="167">
        <f t="shared" si="10"/>
        <v>0</v>
      </c>
      <c r="D175" s="166">
        <f t="shared" si="11"/>
        <v>0</v>
      </c>
      <c r="E175" s="166">
        <f t="shared" si="12"/>
        <v>16.5</v>
      </c>
      <c r="F175" s="166">
        <f t="shared" si="13"/>
        <v>0</v>
      </c>
      <c r="G175" s="119">
        <f t="shared" si="14"/>
        <v>0.45811152199140021</v>
      </c>
      <c r="H175" s="166">
        <f t="shared" si="15"/>
        <v>0</v>
      </c>
      <c r="I175" s="166">
        <f t="shared" si="16"/>
        <v>0</v>
      </c>
    </row>
    <row r="176" spans="1:9">
      <c r="A176">
        <v>17</v>
      </c>
      <c r="B176" s="172">
        <f>INDEX(L147:O147,1,MATCH(Guide!$G$246,Scenarios!$B$2:$B$5,0))</f>
        <v>0</v>
      </c>
      <c r="C176" s="167">
        <f t="shared" si="10"/>
        <v>0</v>
      </c>
      <c r="D176" s="166">
        <f t="shared" si="11"/>
        <v>0</v>
      </c>
      <c r="E176" s="166">
        <f t="shared" si="12"/>
        <v>16.5</v>
      </c>
      <c r="F176" s="166">
        <f t="shared" si="13"/>
        <v>0</v>
      </c>
      <c r="G176" s="119">
        <f t="shared" si="14"/>
        <v>0.43629668761085727</v>
      </c>
      <c r="H176" s="166">
        <f t="shared" si="15"/>
        <v>0</v>
      </c>
      <c r="I176" s="166">
        <f t="shared" si="16"/>
        <v>0</v>
      </c>
    </row>
    <row r="177" spans="1:9">
      <c r="A177">
        <v>18</v>
      </c>
      <c r="B177" s="172">
        <f>INDEX(L148:O148,1,MATCH(Guide!$G$246,Scenarios!$B$2:$B$5,0))</f>
        <v>0</v>
      </c>
      <c r="C177" s="167">
        <f t="shared" si="10"/>
        <v>0</v>
      </c>
      <c r="D177" s="166">
        <f t="shared" si="11"/>
        <v>0</v>
      </c>
      <c r="E177" s="166">
        <f t="shared" si="12"/>
        <v>16.5</v>
      </c>
      <c r="F177" s="166">
        <f t="shared" si="13"/>
        <v>0</v>
      </c>
      <c r="G177" s="119">
        <f t="shared" si="14"/>
        <v>0.41552065486748313</v>
      </c>
      <c r="H177" s="166">
        <f t="shared" si="15"/>
        <v>0</v>
      </c>
      <c r="I177" s="166">
        <f t="shared" si="16"/>
        <v>0</v>
      </c>
    </row>
    <row r="178" spans="1:9">
      <c r="A178">
        <v>19</v>
      </c>
      <c r="B178" s="172">
        <f>INDEX(L149:O149,1,MATCH(Guide!$G$246,Scenarios!$B$2:$B$5,0))</f>
        <v>0</v>
      </c>
      <c r="C178" s="167">
        <f t="shared" si="10"/>
        <v>0</v>
      </c>
      <c r="D178" s="166">
        <f t="shared" si="11"/>
        <v>0</v>
      </c>
      <c r="E178" s="166">
        <f t="shared" si="12"/>
        <v>16.5</v>
      </c>
      <c r="F178" s="166">
        <f t="shared" si="13"/>
        <v>0</v>
      </c>
      <c r="G178" s="119">
        <f t="shared" si="14"/>
        <v>0.39573395701665059</v>
      </c>
      <c r="H178" s="166">
        <f t="shared" si="15"/>
        <v>0</v>
      </c>
      <c r="I178" s="166">
        <f t="shared" si="16"/>
        <v>0</v>
      </c>
    </row>
    <row r="179" spans="1:9">
      <c r="A179">
        <v>20</v>
      </c>
      <c r="B179" s="172">
        <f>INDEX(L150:O150,1,MATCH(Guide!$G$246,Scenarios!$B$2:$B$5,0))</f>
        <v>46.23291904894046</v>
      </c>
      <c r="C179" s="167">
        <f t="shared" si="10"/>
        <v>46.23291904894046</v>
      </c>
      <c r="D179" s="166">
        <f t="shared" si="11"/>
        <v>2311.6459524470229</v>
      </c>
      <c r="E179" s="166">
        <f t="shared" si="12"/>
        <v>16.5</v>
      </c>
      <c r="F179" s="166">
        <f t="shared" si="13"/>
        <v>762.84316430751755</v>
      </c>
      <c r="G179" s="119">
        <f t="shared" si="14"/>
        <v>0.37688948287300061</v>
      </c>
      <c r="H179" s="166">
        <f t="shared" si="15"/>
        <v>871.23504760322339</v>
      </c>
      <c r="I179" s="166">
        <f t="shared" si="16"/>
        <v>287.50756570906373</v>
      </c>
    </row>
    <row r="180" spans="1:9">
      <c r="A180">
        <v>21</v>
      </c>
      <c r="B180" s="172">
        <f>INDEX(L151:O151,1,MATCH(Guide!$G$246,Scenarios!$B$2:$B$5,0))</f>
        <v>0</v>
      </c>
      <c r="C180" s="167">
        <f t="shared" si="10"/>
        <v>0</v>
      </c>
      <c r="D180" s="166">
        <f t="shared" si="11"/>
        <v>0</v>
      </c>
      <c r="E180" s="166">
        <f t="shared" si="12"/>
        <v>16.5</v>
      </c>
      <c r="F180" s="166">
        <f t="shared" si="13"/>
        <v>0</v>
      </c>
      <c r="G180" s="119">
        <f t="shared" si="14"/>
        <v>0.35894236464095297</v>
      </c>
      <c r="H180" s="166">
        <f t="shared" si="15"/>
        <v>0</v>
      </c>
      <c r="I180" s="166">
        <f t="shared" si="16"/>
        <v>0</v>
      </c>
    </row>
    <row r="181" spans="1:9">
      <c r="A181">
        <v>22</v>
      </c>
      <c r="B181" s="172">
        <f>INDEX(L152:O152,1,MATCH(Guide!$G$246,Scenarios!$B$2:$B$5,0))</f>
        <v>0</v>
      </c>
      <c r="C181" s="167">
        <f t="shared" si="10"/>
        <v>0</v>
      </c>
      <c r="D181" s="166">
        <f t="shared" si="11"/>
        <v>0</v>
      </c>
      <c r="E181" s="166">
        <f t="shared" si="12"/>
        <v>16.5</v>
      </c>
      <c r="F181" s="166">
        <f t="shared" si="13"/>
        <v>0</v>
      </c>
      <c r="G181" s="119">
        <f t="shared" si="14"/>
        <v>0.3418498710866219</v>
      </c>
      <c r="H181" s="166">
        <f t="shared" si="15"/>
        <v>0</v>
      </c>
      <c r="I181" s="166">
        <f t="shared" si="16"/>
        <v>0</v>
      </c>
    </row>
    <row r="182" spans="1:9">
      <c r="A182">
        <v>23</v>
      </c>
      <c r="B182" s="172">
        <f>INDEX(L153:O153,1,MATCH(Guide!$G$246,Scenarios!$B$2:$B$5,0))</f>
        <v>0</v>
      </c>
      <c r="C182" s="167">
        <f t="shared" si="10"/>
        <v>0</v>
      </c>
      <c r="D182" s="166">
        <f t="shared" si="11"/>
        <v>0</v>
      </c>
      <c r="E182" s="166">
        <f t="shared" si="12"/>
        <v>16.5</v>
      </c>
      <c r="F182" s="166">
        <f t="shared" si="13"/>
        <v>0</v>
      </c>
      <c r="G182" s="119">
        <f t="shared" si="14"/>
        <v>0.32557130579678267</v>
      </c>
      <c r="H182" s="166">
        <f t="shared" si="15"/>
        <v>0</v>
      </c>
      <c r="I182" s="166">
        <f t="shared" si="16"/>
        <v>0</v>
      </c>
    </row>
    <row r="183" spans="1:9">
      <c r="A183">
        <v>24</v>
      </c>
      <c r="B183" s="172">
        <f>INDEX(L154:O154,1,MATCH(Guide!$G$246,Scenarios!$B$2:$B$5,0))</f>
        <v>0</v>
      </c>
      <c r="C183" s="167">
        <f t="shared" si="10"/>
        <v>0</v>
      </c>
      <c r="D183" s="166">
        <f t="shared" si="11"/>
        <v>0</v>
      </c>
      <c r="E183" s="166">
        <f t="shared" si="12"/>
        <v>16.5</v>
      </c>
      <c r="F183" s="166">
        <f t="shared" si="13"/>
        <v>0</v>
      </c>
      <c r="G183" s="119">
        <f t="shared" si="14"/>
        <v>0.31006791028265024</v>
      </c>
      <c r="H183" s="166">
        <f t="shared" si="15"/>
        <v>0</v>
      </c>
      <c r="I183" s="166">
        <f t="shared" si="16"/>
        <v>0</v>
      </c>
    </row>
    <row r="184" spans="1:9">
      <c r="A184">
        <v>25</v>
      </c>
      <c r="B184" s="172">
        <f>INDEX(L155:O155,1,MATCH(Guide!$G$246,Scenarios!$B$2:$B$5,0))</f>
        <v>42.592567276617231</v>
      </c>
      <c r="C184" s="167">
        <f t="shared" si="10"/>
        <v>42.592567276617231</v>
      </c>
      <c r="D184" s="166">
        <f t="shared" si="11"/>
        <v>2129.6283638308614</v>
      </c>
      <c r="E184" s="166">
        <f t="shared" si="12"/>
        <v>16.5</v>
      </c>
      <c r="F184" s="166">
        <f t="shared" si="13"/>
        <v>702.77736006418434</v>
      </c>
      <c r="G184" s="119">
        <f t="shared" si="14"/>
        <v>0.29530277169776209</v>
      </c>
      <c r="H184" s="166">
        <f t="shared" si="15"/>
        <v>628.88515852542344</v>
      </c>
      <c r="I184" s="166">
        <f t="shared" si="16"/>
        <v>207.53210231338977</v>
      </c>
    </row>
  </sheetData>
  <mergeCells count="2">
    <mergeCell ref="A58:N58"/>
    <mergeCell ref="A148:B148"/>
  </mergeCells>
  <conditionalFormatting sqref="B60:B85">
    <cfRule type="expression" dxfId="0" priority="1">
      <formula>B60=0</formula>
    </cfRule>
  </conditionalFormatting>
  <conditionalFormatting sqref="G60:G85">
    <cfRule type="colorScale" priority="2">
      <colorScale>
        <cfvo type="min"/>
        <cfvo type="percentile" val="50"/>
        <cfvo type="max"/>
        <color rgb="FFFDE9E7"/>
        <color rgb="FFFFF2CC"/>
        <color rgb="FFE2F0D9"/>
      </colorScale>
    </cfRule>
  </conditionalFormatting>
  <conditionalFormatting sqref="K60:K85">
    <cfRule type="dataBar" priority="3">
      <dataBar>
        <cfvo type="min"/>
        <cfvo type="max"/>
        <color rgb="FFA02B93"/>
      </dataBar>
    </cfRule>
  </conditionalFormatting>
  <dataValidations count="1">
    <dataValidation type="list" sqref="B31" xr:uid="{00000000-0002-0000-0000-000000000000}">
      <formula1>"Yes,No"</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9753-DF0A-45A4-A1E6-BCECA27F0847}">
  <sheetPr codeName="Sheet3"/>
  <dimension ref="A1:K11"/>
  <sheetViews>
    <sheetView workbookViewId="0">
      <selection activeCell="H12" sqref="H12"/>
    </sheetView>
  </sheetViews>
  <sheetFormatPr defaultRowHeight="14.5"/>
  <cols>
    <col min="1" max="2" width="17.1796875" customWidth="1"/>
    <col min="3" max="3" width="14.26953125" customWidth="1"/>
    <col min="4" max="8" width="17.1796875" customWidth="1"/>
    <col min="9" max="9" width="9.81640625" customWidth="1"/>
    <col min="11" max="11" width="11.7265625" customWidth="1"/>
  </cols>
  <sheetData>
    <row r="1" spans="1:11" ht="43.5">
      <c r="A1" s="19" t="s">
        <v>7</v>
      </c>
      <c r="B1" s="19" t="s">
        <v>15</v>
      </c>
      <c r="C1" s="19" t="s">
        <v>72</v>
      </c>
      <c r="D1" s="19" t="s">
        <v>75</v>
      </c>
      <c r="E1" s="19" t="s">
        <v>13</v>
      </c>
      <c r="F1" s="19" t="s">
        <v>16</v>
      </c>
      <c r="G1" s="19" t="s">
        <v>17</v>
      </c>
      <c r="H1" s="19" t="s">
        <v>98</v>
      </c>
      <c r="I1" s="19" t="s">
        <v>25</v>
      </c>
      <c r="J1" s="19" t="s">
        <v>64</v>
      </c>
      <c r="K1" s="19" t="s">
        <v>59</v>
      </c>
    </row>
    <row r="2" spans="1:11">
      <c r="A2" t="s">
        <v>8</v>
      </c>
      <c r="B2" s="2" t="s">
        <v>68</v>
      </c>
      <c r="C2" t="s">
        <v>73</v>
      </c>
      <c r="D2">
        <v>1</v>
      </c>
      <c r="E2" s="63" t="s">
        <v>160</v>
      </c>
      <c r="F2" t="s">
        <v>66</v>
      </c>
      <c r="G2" t="s">
        <v>66</v>
      </c>
      <c r="H2" t="s">
        <v>26</v>
      </c>
      <c r="I2" t="s">
        <v>26</v>
      </c>
      <c r="J2" t="s">
        <v>26</v>
      </c>
      <c r="K2" t="s">
        <v>26</v>
      </c>
    </row>
    <row r="3" spans="1:11">
      <c r="A3" t="s">
        <v>9</v>
      </c>
      <c r="B3" s="2" t="s">
        <v>69</v>
      </c>
      <c r="C3" t="s">
        <v>74</v>
      </c>
      <c r="D3">
        <v>10</v>
      </c>
      <c r="E3" s="63" t="s">
        <v>14</v>
      </c>
      <c r="F3" t="s">
        <v>14</v>
      </c>
      <c r="G3" t="s">
        <v>14</v>
      </c>
      <c r="H3" t="s">
        <v>102</v>
      </c>
      <c r="I3" t="s">
        <v>102</v>
      </c>
      <c r="J3" t="s">
        <v>65</v>
      </c>
      <c r="K3" s="36">
        <v>8.8999999999999999E-3</v>
      </c>
    </row>
    <row r="4" spans="1:11">
      <c r="B4" t="s">
        <v>70</v>
      </c>
      <c r="D4">
        <v>100</v>
      </c>
      <c r="E4" s="63" t="s">
        <v>161</v>
      </c>
      <c r="F4" t="s">
        <v>106</v>
      </c>
      <c r="G4" t="s">
        <v>106</v>
      </c>
    </row>
    <row r="5" spans="1:11">
      <c r="B5" t="s">
        <v>71</v>
      </c>
    </row>
    <row r="10" spans="1:11">
      <c r="A10" s="110" t="s">
        <v>66</v>
      </c>
      <c r="B10" s="111" t="s">
        <v>14</v>
      </c>
      <c r="C10" s="112" t="s">
        <v>106</v>
      </c>
    </row>
    <row r="11" spans="1:11">
      <c r="A11" s="116">
        <v>0.5</v>
      </c>
      <c r="B11" s="61">
        <v>1</v>
      </c>
      <c r="C11" s="117">
        <v>1.5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vt:lpstr>
      <vt:lpstr>Database</vt:lpstr>
      <vt:lpstr>Calculations</vt:lpstr>
      <vt:lpstr>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2024-10-16T03:20:30Z</dcterms:created>
  <dcterms:modified xsi:type="dcterms:W3CDTF">2026-04-03T10:58:28Z</dcterms:modified>
</cp:coreProperties>
</file>